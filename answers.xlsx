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yzlco\Desktop\chatbot\code\"/>
    </mc:Choice>
  </mc:AlternateContent>
  <xr:revisionPtr revIDLastSave="0" documentId="13_ncr:1_{69B1EEEC-9986-42AB-BD2D-D57372E3349B}" xr6:coauthVersionLast="47" xr6:coauthVersionMax="47" xr10:uidLastSave="{00000000-0000-0000-0000-000000000000}"/>
  <bookViews>
    <workbookView xWindow="-27750" yWindow="-120" windowWidth="27870" windowHeight="16440" activeTab="6" xr2:uid="{00000000-000D-0000-FFFF-FFFF00000000}"/>
  </bookViews>
  <sheets>
    <sheet name="single option" sheetId="1" r:id="rId1"/>
    <sheet name="single option summary" sheetId="3" r:id="rId2"/>
    <sheet name="single choice ablation study" sheetId="2" r:id="rId3"/>
    <sheet name="multi-option details" sheetId="4" r:id="rId4"/>
    <sheet name="Sheet4" sheetId="5" r:id="rId5"/>
    <sheet name="Sheet5" sheetId="6" r:id="rId6"/>
    <sheet name="Sheet6" sheetId="7" r:id="rId7"/>
  </sheets>
  <definedNames>
    <definedName name="_xlnm._FilterDatabase" localSheetId="5" hidden="1">Sheet5!$A$8:$A$12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4" l="1" a="1"/>
  <c r="F52" i="4" s="1"/>
  <c r="F53" i="4" a="1"/>
  <c r="F53" i="4" s="1"/>
  <c r="F54" i="4" a="1"/>
  <c r="F54" i="4" s="1"/>
  <c r="F55" i="4" a="1"/>
  <c r="F55" i="4"/>
  <c r="F56" i="4" a="1"/>
  <c r="F56" i="4" s="1"/>
  <c r="F57" i="4" a="1"/>
  <c r="F57" i="4" s="1"/>
  <c r="F58" i="4" a="1"/>
  <c r="F58" i="4" s="1"/>
  <c r="F59" i="4" a="1"/>
  <c r="F59" i="4"/>
  <c r="F60" i="4" a="1"/>
  <c r="F60" i="4" s="1"/>
  <c r="F61" i="4" a="1"/>
  <c r="F61" i="4" s="1"/>
  <c r="F62" i="4" a="1"/>
  <c r="F62" i="4" s="1"/>
  <c r="F63" i="4" a="1"/>
  <c r="F63" i="4"/>
  <c r="F64" i="4" a="1"/>
  <c r="F64" i="4" s="1"/>
  <c r="F65" i="4" a="1"/>
  <c r="F65" i="4" s="1"/>
  <c r="F66" i="4" a="1"/>
  <c r="F66" i="4" s="1"/>
  <c r="F67" i="4" a="1"/>
  <c r="F67" i="4"/>
  <c r="F68" i="4" a="1"/>
  <c r="F68" i="4" s="1"/>
  <c r="F69" i="4" a="1"/>
  <c r="F69" i="4" s="1"/>
  <c r="F70" i="4" a="1"/>
  <c r="F70" i="4" s="1"/>
  <c r="F71" i="4" a="1"/>
  <c r="F71" i="4"/>
  <c r="F72" i="4" a="1"/>
  <c r="F72" i="4" s="1"/>
  <c r="F73" i="4" a="1"/>
  <c r="F73" i="4" s="1"/>
  <c r="F74" i="4" a="1"/>
  <c r="F74" i="4" s="1"/>
  <c r="F75" i="4" a="1"/>
  <c r="F75" i="4"/>
  <c r="F76" i="4" a="1"/>
  <c r="F76" i="4" s="1"/>
  <c r="F77" i="4" a="1"/>
  <c r="F77" i="4" s="1"/>
  <c r="F78" i="4" a="1"/>
  <c r="F78" i="4" s="1"/>
  <c r="F79" i="4" a="1"/>
  <c r="F79" i="4"/>
  <c r="F80" i="4" a="1"/>
  <c r="F80" i="4" s="1"/>
  <c r="F81" i="4" a="1"/>
  <c r="F81" i="4" s="1"/>
  <c r="F82" i="4" a="1"/>
  <c r="F82" i="4" s="1"/>
  <c r="F83" i="4" a="1"/>
  <c r="F83" i="4"/>
  <c r="F84" i="4" a="1"/>
  <c r="F84" i="4" s="1"/>
  <c r="F85" i="4" a="1"/>
  <c r="F85" i="4" s="1"/>
  <c r="F86" i="4" a="1"/>
  <c r="F86" i="4" s="1"/>
  <c r="F87" i="4" a="1"/>
  <c r="F87" i="4"/>
  <c r="F88" i="4" a="1"/>
  <c r="F88" i="4" s="1"/>
  <c r="F89" i="4" a="1"/>
  <c r="F89" i="4" s="1"/>
  <c r="F90" i="4" a="1"/>
  <c r="F90" i="4" s="1"/>
  <c r="F91" i="4" a="1"/>
  <c r="F91" i="4"/>
  <c r="F92" i="4" a="1"/>
  <c r="F92" i="4" s="1"/>
  <c r="F93" i="4" a="1"/>
  <c r="F93" i="4" s="1"/>
  <c r="F94" i="4" a="1"/>
  <c r="F94" i="4" s="1"/>
  <c r="F95" i="4" a="1"/>
  <c r="F95" i="4"/>
  <c r="F96" i="4" a="1"/>
  <c r="F96" i="4" s="1"/>
  <c r="F97" i="4" a="1"/>
  <c r="F97" i="4" s="1"/>
  <c r="F98" i="4" a="1"/>
  <c r="F98" i="4" s="1"/>
  <c r="F99" i="4" a="1"/>
  <c r="F99" i="4"/>
  <c r="F100" i="4" a="1"/>
  <c r="F100" i="4" s="1"/>
  <c r="F101" i="4" a="1"/>
  <c r="F101" i="4" s="1"/>
  <c r="F102" i="4" a="1"/>
  <c r="F102" i="4" s="1"/>
  <c r="F103" i="4" a="1"/>
  <c r="F103" i="4"/>
  <c r="F104" i="4" a="1"/>
  <c r="F104" i="4" s="1"/>
  <c r="F105" i="4" a="1"/>
  <c r="F105" i="4" s="1"/>
  <c r="F106" i="4" a="1"/>
  <c r="F106" i="4" s="1"/>
  <c r="F107" i="4" a="1"/>
  <c r="F107" i="4"/>
  <c r="F108" i="4" a="1"/>
  <c r="F108" i="4" s="1"/>
  <c r="F109" i="4" a="1"/>
  <c r="F109" i="4" s="1"/>
  <c r="F110" i="4" a="1"/>
  <c r="F110" i="4" s="1"/>
  <c r="F111" i="4" a="1"/>
  <c r="F111" i="4"/>
  <c r="F112" i="4" a="1"/>
  <c r="F112" i="4" s="1"/>
  <c r="F113" i="4" a="1"/>
  <c r="F113" i="4" s="1"/>
  <c r="F114" i="4" a="1"/>
  <c r="F114" i="4" s="1"/>
  <c r="F115" i="4" a="1"/>
  <c r="F115" i="4"/>
  <c r="F116" i="4" a="1"/>
  <c r="F116" i="4" s="1"/>
  <c r="F117" i="4" a="1"/>
  <c r="F117" i="4" s="1"/>
  <c r="F118" i="4" a="1"/>
  <c r="F118" i="4" s="1"/>
  <c r="F119" i="4" a="1"/>
  <c r="F119" i="4"/>
  <c r="F120" i="4" a="1"/>
  <c r="F120" i="4" s="1"/>
  <c r="F121" i="4" a="1"/>
  <c r="F121" i="4" s="1"/>
  <c r="F122" i="4" a="1"/>
  <c r="F122" i="4" s="1"/>
  <c r="F123" i="4" a="1"/>
  <c r="F123" i="4"/>
  <c r="F124" i="4" a="1"/>
  <c r="F124" i="4" s="1"/>
  <c r="F125" i="4" a="1"/>
  <c r="F125" i="4" s="1"/>
  <c r="F126" i="4" a="1"/>
  <c r="F126" i="4" s="1"/>
  <c r="F127" i="4" a="1"/>
  <c r="F127" i="4"/>
  <c r="F128" i="4" a="1"/>
  <c r="F128" i="4" s="1"/>
  <c r="F129" i="4" a="1"/>
  <c r="F129" i="4" s="1"/>
  <c r="F130" i="4" a="1"/>
  <c r="F130" i="4" s="1"/>
  <c r="F131" i="4" a="1"/>
  <c r="F131" i="4"/>
  <c r="F132" i="4" a="1"/>
  <c r="F132" i="4" s="1"/>
  <c r="F133" i="4" a="1"/>
  <c r="F133" i="4" s="1"/>
  <c r="F134" i="4" a="1"/>
  <c r="F134" i="4" s="1"/>
  <c r="F135" i="4" a="1"/>
  <c r="F135" i="4"/>
  <c r="F136" i="4" a="1"/>
  <c r="F136" i="4" s="1"/>
  <c r="F137" i="4" a="1"/>
  <c r="F137" i="4" s="1"/>
  <c r="F138" i="4" a="1"/>
  <c r="F138" i="4" s="1"/>
  <c r="F139" i="4" a="1"/>
  <c r="F139" i="4"/>
  <c r="F140" i="4" a="1"/>
  <c r="F140" i="4" s="1"/>
  <c r="F141" i="4" a="1"/>
  <c r="F141" i="4" s="1"/>
  <c r="F142" i="4" a="1"/>
  <c r="F142" i="4" s="1"/>
  <c r="F143" i="4" a="1"/>
  <c r="F143" i="4"/>
  <c r="F144" i="4" a="1"/>
  <c r="F144" i="4" s="1"/>
  <c r="F145" i="4" a="1"/>
  <c r="F145" i="4" s="1"/>
  <c r="F146" i="4" a="1"/>
  <c r="F146" i="4" s="1"/>
  <c r="F147" i="4" a="1"/>
  <c r="F147" i="4"/>
  <c r="F148" i="4" a="1"/>
  <c r="F148" i="4" s="1"/>
  <c r="F149" i="4" a="1"/>
  <c r="F149" i="4" s="1"/>
  <c r="F150" i="4" a="1"/>
  <c r="F150" i="4" s="1"/>
  <c r="F151" i="4" a="1"/>
  <c r="F151" i="4"/>
  <c r="F152" i="4" a="1"/>
  <c r="F152" i="4" s="1"/>
  <c r="F153" i="4" a="1"/>
  <c r="F153" i="4" s="1"/>
  <c r="F154" i="4" a="1"/>
  <c r="F154" i="4" s="1"/>
  <c r="F155" i="4" a="1"/>
  <c r="F155" i="4"/>
  <c r="F156" i="4" a="1"/>
  <c r="F156" i="4" s="1"/>
  <c r="F157" i="4" a="1"/>
  <c r="F157" i="4" s="1"/>
  <c r="F158" i="4" a="1"/>
  <c r="F158" i="4" s="1"/>
  <c r="F159" i="4" a="1"/>
  <c r="F159" i="4"/>
  <c r="F160" i="4" a="1"/>
  <c r="F160" i="4" s="1"/>
  <c r="F161" i="4" a="1"/>
  <c r="F161" i="4" s="1"/>
  <c r="F162" i="4" a="1"/>
  <c r="F162" i="4" s="1"/>
  <c r="F163" i="4" a="1"/>
  <c r="F163" i="4"/>
  <c r="F164" i="4" a="1"/>
  <c r="F164" i="4" s="1"/>
  <c r="F165" i="4" a="1"/>
  <c r="F165" i="4" s="1"/>
  <c r="F166" i="4" a="1"/>
  <c r="F166" i="4" s="1"/>
  <c r="F167" i="4" a="1"/>
  <c r="F167" i="4"/>
  <c r="F168" i="4" a="1"/>
  <c r="F168" i="4" s="1"/>
  <c r="F169" i="4" a="1"/>
  <c r="F169" i="4" s="1"/>
  <c r="F170" i="4" a="1"/>
  <c r="F170" i="4" s="1"/>
  <c r="F171" i="4" a="1"/>
  <c r="F171" i="4"/>
  <c r="F172" i="4" a="1"/>
  <c r="F172" i="4" s="1"/>
  <c r="F173" i="4" a="1"/>
  <c r="F173" i="4" s="1"/>
  <c r="F174" i="4" a="1"/>
  <c r="F174" i="4" s="1"/>
  <c r="F175" i="4" a="1"/>
  <c r="F175" i="4"/>
  <c r="F176" i="4" a="1"/>
  <c r="F176" i="4" s="1"/>
  <c r="F177" i="4" a="1"/>
  <c r="F177" i="4" s="1"/>
  <c r="F178" i="4" a="1"/>
  <c r="F178" i="4" s="1"/>
  <c r="F179" i="4" a="1"/>
  <c r="F179" i="4" s="1"/>
  <c r="F180" i="4" a="1"/>
  <c r="F180" i="4" s="1"/>
  <c r="F181" i="4" a="1"/>
  <c r="F181" i="4" s="1"/>
  <c r="F182" i="4" a="1"/>
  <c r="F182" i="4" s="1"/>
  <c r="F183" i="4" a="1"/>
  <c r="F183" i="4"/>
  <c r="F184" i="4" a="1"/>
  <c r="F184" i="4" s="1"/>
  <c r="F185" i="4" a="1"/>
  <c r="F185" i="4" s="1"/>
  <c r="F186" i="4" a="1"/>
  <c r="F186" i="4" s="1"/>
  <c r="F187" i="4" a="1"/>
  <c r="F187" i="4"/>
  <c r="F188" i="4" a="1"/>
  <c r="F188" i="4" s="1"/>
  <c r="F189" i="4" a="1"/>
  <c r="F189" i="4" s="1"/>
  <c r="F190" i="4" a="1"/>
  <c r="F190" i="4" s="1"/>
  <c r="F191" i="4" a="1"/>
  <c r="F191" i="4"/>
  <c r="F192" i="4" a="1"/>
  <c r="F192" i="4" s="1"/>
  <c r="F193" i="4" a="1"/>
  <c r="F193" i="4" s="1"/>
  <c r="F194" i="4" a="1"/>
  <c r="F194" i="4" s="1"/>
  <c r="F195" i="4" a="1"/>
  <c r="F195" i="4"/>
  <c r="F196" i="4" a="1"/>
  <c r="F196" i="4" s="1"/>
  <c r="F197" i="4" a="1"/>
  <c r="F197" i="4" s="1"/>
  <c r="F198" i="4" a="1"/>
  <c r="F198" i="4" s="1"/>
  <c r="F199" i="4" a="1"/>
  <c r="F199" i="4"/>
  <c r="F200" i="4" a="1"/>
  <c r="F200" i="4" s="1"/>
  <c r="F201" i="4" a="1"/>
  <c r="F201" i="4" s="1"/>
  <c r="B3" i="5" a="1"/>
  <c r="B3" i="5" s="1"/>
  <c r="B4" i="5" a="1"/>
  <c r="B4" i="5" s="1"/>
  <c r="B5" i="5" a="1"/>
  <c r="B5" i="5" s="1"/>
  <c r="B3" i="3" a="1"/>
  <c r="B3" i="3" s="1"/>
  <c r="B4" i="3" a="1"/>
  <c r="B4" i="3" s="1"/>
  <c r="B5" i="3" a="1"/>
  <c r="B5" i="3"/>
  <c r="B6" i="3" a="1"/>
  <c r="B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<sst xmlns="http://schemas.openxmlformats.org/spreadsheetml/2006/main" count="3535" uniqueCount="507">
  <si>
    <t>question_index</t>
  </si>
  <si>
    <t>correct_answer</t>
  </si>
  <si>
    <t>etrag_answer</t>
  </si>
  <si>
    <t>confidence</t>
  </si>
  <si>
    <t>execution_time_sec</t>
  </si>
  <si>
    <t>B. Amyloid-beta (Aβ)</t>
  </si>
  <si>
    <t>B. Amyloid-beta (Aβ) is considered a hallmark of Alzheimer’s disease (AD) pathology, characterized by the presence of β-amyloid-containing plaques and tau-containing neurofibrillary tangles (Alzheimer disease, 2021).</t>
  </si>
  <si>
    <t>C. Obstructive sleep apnea (OSA)</t>
  </si>
  <si>
    <t>C. Obstructive sleep apnea (OSA) is commonly associated with increased AD risk. Sleep disturbances, including OSA, are linked to cognitive decline and neurodegeneration in Alzheimer disease (AD) patients, as they contribute to fragmented sleep and impaired cognitive function (Linking activity dyshomeostasis and sleep disturbances in Alzheimer disease, 2024).</t>
  </si>
  <si>
    <t>C. Aβ-PET</t>
  </si>
  <si>
    <t>C. Aβ-PET
The introduction of Aβ-PET imaging in 2004 clarified the roles of FDG-PET and MRI in evaluating patients with cognitive impairment, specifically for visualizing brain amyloid in Alzheimer disease (AD) (Alzheimer disease, 2021).</t>
  </si>
  <si>
    <t>A. Probiotics</t>
  </si>
  <si>
    <t>A. Probiotics
Probiotics, specifically Bifidobacterium and Lactobacillus species, have shown potential in improving blood-brain barrier integrity and memory deficits in mouse models of Alzheimer's disease (AD) after antibiotic-induced microbiome depletion (Neuroinflammation in Alzheimer disease, 2024).</t>
  </si>
  <si>
    <t>Not Covered</t>
  </si>
  <si>
    <t>Not covered.</t>
  </si>
  <si>
    <t>B. T</t>
  </si>
  <si>
    <t>B. T  
The A-T-N biomarker framework includes tau as the letter T, representing abnormal tau protein. This framework classifies individuals in the Alzheimer's disease spectrum by combining amyloid (A), tau (T), and neurodegeneration (N) biomarkers (Alzheimer disease, 2021).</t>
  </si>
  <si>
    <t>D. &gt;90 years</t>
  </si>
  <si>
    <t>C. 65–90 years
The prevalence of hearing loss increases significantly with age, and individuals aged 65 years and older are particularly at risk for cognitive decline and dementia, including Alzheimer's disease (AD). This age group experiences a higher incidence of cognitive impairment, which is exacerbated by factors such as hearing loss (Alzheimer disease, 2021).</t>
  </si>
  <si>
    <t>B. NREM sleep</t>
  </si>
  <si>
    <t>B. NREM sleep
NREM sleep is critical for metabolite clearance from the brain, particularly during the glymphatic system's activity, which is enhanced during this sleep stage. This process is essential for the clearance of amyloid-beta (Aβ) and other waste products from the central nervous system (Linking activity dyshomeostasis and sleep disturbances in Alzheimer disease, 2024).</t>
  </si>
  <si>
    <t>B. Decreased hippocampal volume</t>
  </si>
  <si>
    <t>B. Decreased hippocampal volume. 
Hearing loss in Alzheimer's disease patients is associated with decreased hippocampal volume, which reflects the broader neurodegenerative changes occurring in the brain. This atrophy is linked to cognitive decline and is a common feature in Alzheimer's pathology (Alzheimer disease, 2021).</t>
  </si>
  <si>
    <t>B. A preventive dietary strategy</t>
  </si>
  <si>
    <t>B. A preventive dietary strategy. The Mediterranean diet has been linked to a reduced risk of Alzheimer's disease (AD) and is considered a preventive approach to maintain good health and cognitive function (Oxidative damage in neurodegeneration: roles in the pathogenesis and progression of Alzheimer disease, 2023).</t>
  </si>
  <si>
    <t>C. Obstructive sleep apnea (OSA)
Sleep disturbances, including increased time awake during the night and fragmented circadian rhythms, are commonly observed in Alzheimer disease (AD) and are linked to cognitive impairments. Specifically, obstructive sleep apnea (OSA) is a notable comorbidity that can exacerbate cognitive decline in AD patients (Linking activity dyshomeostasis and sleep disturbances in Alzheimer disease, 2024).</t>
  </si>
  <si>
    <t>A. Probiotics
Probiotics, specifically Bifidobacterium and Lactobacillus species, have shown potential in improving blood-brain barrier integrity and memory deficits in mouse models of Alzheimer's disease (AD) after antibiotic-induced microbiome depletion (Neuroinflammation in Alzheimer disease, 2024). This suggests that gut-related interventions may play a role in AD treatment by modulating the microbiome and its effects on neuroinflammation and cognitive function.</t>
  </si>
  <si>
    <t>B. T
The A-T-N biomarker framework includes tau as the letter "T," representing abnormal tau protein. This framework classifies individuals in the Alzheimer's disease spectrum by combining amyloid (A), tau (T), and neurodegeneration (N) biomarkers (Alzheimer disease, 2021).</t>
  </si>
  <si>
    <t>C. 65–90 years
The prevalence of overt cognitive impairment increases exponentially with advancing age, particularly after 65 years, with the incidence of all-cause dementia rising steeply in this age group (Alzheimer disease, 2021). Additionally, the fastest-growing demographic segment at risk for cognitive disorders is the oldest-old group (people aged &gt;90 years), which has the highest risk of multi-aetiology dementia (Alzheimer disease, 2021).</t>
  </si>
  <si>
    <t>B. NREM sleep
NREM sleep, particularly during slow-wave sleep, is critical for metabolite clearance from the brain, including the clearance of amyloid-beta (Aβ). This process is facilitated by the glymphatic system, which is more active during sleep (Linking activity dyshomeostasis and sleep disturbances in Alzheimer disease, 2024).</t>
  </si>
  <si>
    <t>B. Decreased hippocampal volume. 
Hearing loss in Alzheimer's disease patients is associated with decreased hippocampal volume, which reflects the broader neurodegenerative changes occurring in the brain. This relationship highlights the impact of auditory dysfunction on cognitive decline and hippocampal atrophy in AD patients (Alzheimer disease, 2021).</t>
  </si>
  <si>
    <t>B. A preventive dietary strategy. The Mediterranean diet has been linked to a reduced risk of Alzheimer's disease (AD) and is considered a reasonable approach to optimize health status, particularly in the context of prevention (Oxidative damage in neurodegeneration: roles in the pathogenesis and progression of Alzheimer disease, 2023).</t>
  </si>
  <si>
    <t>C. Obstructive sleep apnea (OSA) 
Sleep disturbances, including obstructive sleep apnea, are commonly observed in individuals with Alzheimer's disease (AD) and are associated with increased risk factors for the disease. Fragmented sleep patterns and reduced sleep quality can exacerbate cognitive decline in AD patients (Linking activity dyshomeostasis and sleep disturbances in Alzheimer disease, 2024).</t>
  </si>
  <si>
    <t>C. 65–90 years
The prevalence of overt cognitive impairment increases exponentially with advancing age, particularly after 65 years, with the incidence of all-cause dementia rising steeply in this age group (Alzheimer disease, 2021). Additionally, the fastest-growing demographic segment at risk for cognitive disorders is the oldest-old group (people aged &gt; 90 years), which has the highest risk of multi-aetiology dementia (Alzheimer disease, 2021).</t>
  </si>
  <si>
    <t>B. A preventive dietary strategy. The Mediterranean diet has been linked to a reduced risk of Alzheimer's disease (AD) and is considered a preventive approach to maintain good health and potentially optimize cognitive function (Oxidative damage in neurodegeneration: roles in the pathogenesis and progression of Alzheimer disease, 2023).</t>
  </si>
  <si>
    <t>C. Obstructive sleep apnea (OSA) is commonly associated with increased AD risk. Sleep disturbances, including OSA, are linked to cognitive decline and are prevalent in individuals with Alzheimer disease (AD), contributing to the overall risk of developing the condition (Linking activity dyshomeostasis and sleep disturbances in Alzheimer disease, 2024).</t>
  </si>
  <si>
    <t>C. 65–90 years
The incidence of all-cause dementia increases steeply after 65 years and continues to rise thereafter, with approximately 1 per 100 per year in individuals aged 65–70 years, increasing to 4 per 100 per year in those aged 80–90 years (Alzheimer disease, 2021). Additionally, the fastest-growing demographic segment at risk for cognitive disorders is the oldest-old group (people aged &gt;90 years) (Alzheimer disease, 2021).</t>
  </si>
  <si>
    <t>B. NREM sleep
NREM sleep is critical for metabolite clearance from the brain, particularly during the glymphatic system's activity, which is enhanced during this sleep stage. This process is essential for the clearance of amyloid-beta and other waste products, as highlighted in "Linking activity dyshomeostasis and sleep disturbances in Alzheimer disease" (2024).</t>
  </si>
  <si>
    <t>B. A preventive dietary strategy. 
The Mediterranean diet has been linked to a reduced risk of Alzheimer's disease (AD) and is considered a preventive dietary strategy rather than a treatment for AD (Oxidative damage in neurodegeneration: roles in the pathogenesis and progression of Alzheimer disease, 2023).</t>
  </si>
  <si>
    <t>C. Aβ-PET
The introduction of Aβ-PET imaging in 2004 clarified the roles of FDG-PET and MRI in evaluating patients with cognitive impairment, marking it as the first imaging modality specifically used to visualize brain amyloid in Alzheimer disease (AD) (Alzheimer disease, 2021).</t>
  </si>
  <si>
    <t>C. 65–90 years
The prevalence of overt cognitive impairment increases exponentially with advancing age, particularly after 65 years, with the incidence of all-cause dementia rising steeply in this age group (Alzheimer disease, 2021). Additionally, the fastest-growing demographic segment at risk for cognitive disorders is the oldest-old group (people aged &gt;90 years) (Alzheimer disease, 2021).</t>
  </si>
  <si>
    <t>B. Decreased hippocampal volume. 
Hearing loss in Alzheimer's disease patients is associated with decreased hippocampal volume, which reflects the broader neurodegenerative processes occurring in the disease. This relationship highlights the impact of auditory dysfunction on cognitive decline and hippocampal atrophy in AD patients (Alzheimer disease, 2021).</t>
  </si>
  <si>
    <t>Correctness</t>
  </si>
  <si>
    <t>correctness_mean</t>
  </si>
  <si>
    <t>confidence_mean</t>
  </si>
  <si>
    <t>execution_time_mean_sec</t>
  </si>
  <si>
    <t>correctness</t>
  </si>
  <si>
    <t>100.0% ± 0.0%</t>
  </si>
  <si>
    <t>75.4% ± 0.0%</t>
  </si>
  <si>
    <t>73.5% ± 0.0%</t>
  </si>
  <si>
    <t>75.3% ± 0.0%</t>
  </si>
  <si>
    <t>74.2% ± 0.0%</t>
  </si>
  <si>
    <t>92.0% ± 0.0%</t>
  </si>
  <si>
    <t>74.6% ± 0.0%</t>
  </si>
  <si>
    <t>0.0% ± 0.0%</t>
  </si>
  <si>
    <t>74.7% ± 0.3%</t>
  </si>
  <si>
    <t>74.1% ± 0.0%</t>
  </si>
  <si>
    <t>73.6% ± 0.0%</t>
  </si>
  <si>
    <t>execution_time</t>
  </si>
  <si>
    <t>7.4 ± 2.9 (s)</t>
  </si>
  <si>
    <t>4.6 ± 1.0 (s)</t>
  </si>
  <si>
    <t>4.1 ± 1.0 (s)</t>
  </si>
  <si>
    <t>4.9 ± 2.1 (s)</t>
  </si>
  <si>
    <t>3.4 ± 0.8 (s)</t>
  </si>
  <si>
    <t>5.9 ± 4.0 (s)</t>
  </si>
  <si>
    <t>4.8 ± 1.4 (s)</t>
  </si>
  <si>
    <t>3.9 ± 0.4 (s)</t>
  </si>
  <si>
    <t>3.8 ± 0.7 (s)</t>
  </si>
  <si>
    <t>4.6 ± 2.0 (s)</t>
  </si>
  <si>
    <t>config_id</t>
  </si>
  <si>
    <t>configuration</t>
  </si>
  <si>
    <t>correct_answers</t>
  </si>
  <si>
    <t>total_questions</t>
  </si>
  <si>
    <t>accuracy</t>
  </si>
  <si>
    <t>confidence_sd</t>
  </si>
  <si>
    <t>execution_time_sd_sec</t>
  </si>
  <si>
    <t>quality_corrections</t>
  </si>
  <si>
    <t>A0</t>
  </si>
  <si>
    <t>Cosine baseline</t>
  </si>
  <si>
    <t>A1</t>
  </si>
  <si>
    <t>A2</t>
  </si>
  <si>
    <t>A3</t>
  </si>
  <si>
    <t>A4</t>
  </si>
  <si>
    <t>A5</t>
  </si>
  <si>
    <t>Full ET-RAG</t>
  </si>
  <si>
    <t>round_number</t>
  </si>
  <si>
    <t>config_order</t>
  </si>
  <si>
    <t>agent_family</t>
  </si>
  <si>
    <t>invocation_source</t>
  </si>
  <si>
    <t>enabled_components</t>
  </si>
  <si>
    <t>similarity_weight</t>
  </si>
  <si>
    <t>evidence_weight</t>
  </si>
  <si>
    <t>temporal_weight</t>
  </si>
  <si>
    <t>question_number</t>
  </si>
  <si>
    <t>question</t>
  </si>
  <si>
    <t>options</t>
  </si>
  <si>
    <t>correct_answer_keys</t>
  </si>
  <si>
    <t>correct_answer_texts</t>
  </si>
  <si>
    <t>predicted_answer_keys</t>
  </si>
  <si>
    <t>is_correct</t>
  </si>
  <si>
    <t>base_retrieval_time_sec</t>
  </si>
  <si>
    <t>option_retrieval_time_sec</t>
  </si>
  <si>
    <t>candidate_count</t>
  </si>
  <si>
    <t>top_chunk_count</t>
  </si>
  <si>
    <t>mean_top_retrieval_score</t>
  </si>
  <si>
    <t>hybrid_context</t>
  </si>
  <si>
    <t>per_option_retrieval</t>
  </si>
  <si>
    <t>quality_check</t>
  </si>
  <si>
    <t>quality_changed</t>
  </si>
  <si>
    <t>source_files</t>
  </si>
  <si>
    <t>draft_answer</t>
  </si>
  <si>
    <t>final_answer</t>
  </si>
  <si>
    <t>ET-RAG</t>
  </si>
  <si>
    <t>test.agent_etrag</t>
  </si>
  <si>
    <t>cosine retrieval</t>
  </si>
  <si>
    <t>Which of the following are components of the A-T-N AD biomarker framework?</t>
  </si>
  <si>
    <t>A. Amyloid beta | B. Tau | C. Neurodegeneration markers | D. Synaptic vesicle proteins</t>
  </si>
  <si>
    <t>A, B, C</t>
  </si>
  <si>
    <t>Amyloid beta | Tau | Neurodegeneration markers</t>
  </si>
  <si>
    <t>2023-oxidative-damage-in-neurodegeneration-roles-in-the-pathogenesis-and-progression-of-alzheimer-disease.pdf | 2024 Advancements and Challenges in Antiamyloid Therapy for.pdf | 2024 Cell type-specific roles of APOE4 in Alzheimer disease.pdf | 2024 Neuroinflammation in Alzheimer disease.pdf | Recent advances in Alzheimer’s disease mechanisms clinical trials and new drug development strategies.pdf | alzheimer disease  2021.pdf</t>
  </si>
  <si>
    <t>A: SUPPORTED (The A-T-N framework includes amyloid beta as a key component, specifically mentioned as "Aβ" in the context of biomarkers for Alzheimer's disease in the review "Alzheimer disease" (2021).)
B: SUPPORTED (Tau is explicitly identified as a component of the A-T-N framework, referred to as "T" for tau pathology in the same review "Alzheimer disease" (2021).)
C: SUPPORTED (Neurodegeneration markers are included in the A-T-N framework, categorized as "N" for neurodegeneration in the review "Alzheimer disease" (2021).)
D: NOT SUPPORTED (Synaptic vesicle proteins are not mentioned as part of the A-T-N framework in the provided excerpts. The focus is on amyloid beta, tau, and neurodegeneration markers, with no direct reference to synaptic vesicle proteins.)
ANSWER: ABC</t>
  </si>
  <si>
    <t>Which sleep-related conditions are discussed as contributing to AD progression?</t>
  </si>
  <si>
    <t>A. Sleep apnea | B. Long sleep duration | C. Short sleep duration | D. Insomnia</t>
  </si>
  <si>
    <t>A, B, C, D</t>
  </si>
  <si>
    <t>Sleep apnea | Long sleep duration | Short sleep duration | Insomnia</t>
  </si>
  <si>
    <t>C</t>
  </si>
  <si>
    <t>2023-oxidative-damage-in-neurodegeneration-roles-in-the-pathogenesis-and-progression-of-alzheimer-disease.pdf | 2024 Advancements and Challenges in Antiamyloid Therapy for.pdf | 2024 Linking activity dyshomeostasis and sleep disturbances in Alzheimer disease.pdf | 2025 Oligodendrocytes in Alzheimer’s disease pathophysiology.pdf | 2025 Updates on mouse models of Alzheimer’s disease.pdf | Recent advances in Alzheimer’s disease mechanisms clinical trials and new drug development strategies.pdf | alzheimer disease  2021.pdf</t>
  </si>
  <si>
    <t>A: NOT SUPPORTED  
The papers do not specifically mention sleep apnea as a contributing factor to AD progression.
B: NOT SUPPORTED  
There is no direct evidence in the papers indicating that long sleep duration contributes to AD progression.
C: SUPPORTED  
The review "Linking activity dyshomeostasis and sleep disturbances in Alzheimer disease" (2024) discusses how sleep characteristics change with age and how individuals with AD exhibit impairments in sleep patterns, which may include decreased nocturnal sleep time. This suggests that short sleep duration could be a factor in AD progression.
D: NOT SUPPORTED  
The papers do not specifically mention insomnia as a contributing factor to AD progression.
ANSWER: C</t>
  </si>
  <si>
    <t>Which interventions were identified as promising for sleep-related AD therapy?</t>
  </si>
  <si>
    <t>A. CBT-I | B. Suvorexant | C. CPAP | D. Ketamine</t>
  </si>
  <si>
    <t>CBT-I | Suvorexant | CPAP</t>
  </si>
  <si>
    <t>UNPARSED</t>
  </si>
  <si>
    <t>2023-oxidative-damage-in-neurodegeneration-roles-in-the-pathogenesis-and-progression-of-alzheimer-disease.pdf | 2024 Advancements and Challenges in Antiamyloid Therapy for.pdf | 2024 Linking activity dyshomeostasis and sleep disturbances in Alzheimer disease.pdf | 2025 Updates on mouse models of Alzheimer’s disease.pdf | Recent advances in Alzheimer’s disease mechanisms clinical trials and new drug development strategies.pdf | alzheimer disease  2021.pdf</t>
  </si>
  <si>
    <t>A: NOT SUPPORTED  
The papers reviewed do not provide any direct evidence or mention of Cognitive Behavioral Therapy for Insomnia (CBT-I) as a promising intervention for sleep-related Alzheimer's disease therapy.
B: NOT SUPPORTED  
There is no direct mention of suvorexant in the provided excerpts as a promising intervention for sleep-related Alzheimer's disease therapy.
C: NOT SUPPORTED  
The provided excerpts do not discuss Continuous Positive Airway Pressure (CPAP) as a promising intervention for sleep-related Alzheimer's disease therapy.
D: NOT SUPPORTED  
The papers do not mention ketamine as a promising intervention for sleep-related Alzheimer's disease therapy.
ANSWER: None supported.</t>
  </si>
  <si>
    <t>Hearing loss in older adults may lead to which of the following?</t>
  </si>
  <si>
    <t>A. Decreased brain volume | B. Higher tau levels | C. Lower social engagement | D. Enhanced neurogenesis</t>
  </si>
  <si>
    <t>Decreased brain volume | Higher tau levels | Lower social engagement</t>
  </si>
  <si>
    <t>2023-oxidative-damage-in-neurodegeneration-roles-in-the-pathogenesis-and-progression-of-alzheimer-disease.pdf | 2024 Cell type-specific roles of APOE4 in Alzheimer disease.pdf | 2024 Immune Activation in Alzheimer Disease.pdf | 2024 Linking activity dyshomeostasis and sleep disturbances in Alzheimer disease.pdf | 2024 Neuroinflammation in Alzheimer disease.pdf | 2025 Updates on mouse models of Alzheimer’s disease.pdf | Recent advances in Alzheimer’s disease mechanisms clinical trials and new drug development strategies.pdf | alzheimer disease  2021.pdf</t>
  </si>
  <si>
    <t>A: NOT SUPPORTED  
The papers do not provide direct evidence linking hearing loss in older adults to decreased brain volume.
B: NOT SUPPORTED  
There is no direct evidence in the papers indicating that hearing loss leads to higher tau levels.
C: SUPPORTED  
The papers discuss that hearing loss is common in patients with Alzheimer's disease (AD) and can exacerbate short-term memory problems, which implies a potential link to lower social engagement due to communication difficulties (Alzheimer disease, 2021).
D: NOT SUPPORTED  
The papers do not provide evidence that hearing loss leads to enhanced neurogenesis.
ANSWER: C</t>
  </si>
  <si>
    <t>Which factors have been epidemiologically linked to AD?</t>
  </si>
  <si>
    <t>A. Hypoxia | B. Gut microbiota imbalance | C. High education | D. Diet</t>
  </si>
  <si>
    <t>A, B, D</t>
  </si>
  <si>
    <t>Hypoxia | Gut microbiota imbalance | Diet</t>
  </si>
  <si>
    <t>B, D</t>
  </si>
  <si>
    <t>2023-oxidative-damage-in-neurodegeneration-roles-in-the-pathogenesis-and-progression-of-alzheimer-disease.pdf | 2024 Advancements and Challenges in Antiamyloid Therapy for.pdf | 2024 Cell type-specific roles of APOE4 in Alzheimer disease.pdf | 2024 Immune Activation in Alzheimer Disease.pdf | 2024 Linking activity dyshomeostasis and sleep disturbances in Alzheimer disease.pdf | 2024 Neuroinflammation in Alzheimer disease.pdf | 2025 Updates on mouse models of Alzheimer’s disease.pdf | Recent advances in Alzheimer’s disease mechanisms clinical trials and new drug development strategies.pdf | alzheimer disease  2021.pdf</t>
  </si>
  <si>
    <t>A: NOT SUPPORTED  
The papers do not provide direct evidence linking hypoxia to Alzheimer's disease (AD). While cerebrovascular factors are mentioned, hypoxia specifically is not discussed as a risk factor for AD.
B: SUPPORTED  
The microbiota-gut-brain axis hypothesis is discussed, indicating that alterations in gut microbiota can influence brain function and potentially contribute to AD pathology (Recent advances in Alzheimer’s disease: mechanisms, clinical trials and new drug development strategies, year unknown).
C: NOT SUPPORTED  
There is no direct evidence in the papers linking high education levels to AD. The focus is primarily on age, genetic factors, and other modifiable risk factors.
D: SUPPORTED  
The role of diet, particularly the Mediterranean diet, is mentioned as being linked to AD risk, with specific dietary patterns associated with cognitive outcomes (Oxidative damage in neurodegeneration: roles in the pathogenesis and progression of Alzheimer disease, 2023).
ANSWER: BD</t>
  </si>
  <si>
    <t>Which imaging biomarkers are used in AD diagnosis?</t>
  </si>
  <si>
    <t>A. Tau-PET | B. MRI | C. CT | D. FDG-PET</t>
  </si>
  <si>
    <t>Tau-PET | MRI | FDG-PET</t>
  </si>
  <si>
    <t>2024 Advancements and Challenges in Antiamyloid Therapy for.pdf | 2024 Neuroinflammation in Alzheimer disease.pdf | 2025 Updates on mouse models of Alzheimer’s disease.pdf | Recent advances in Alzheimer’s disease mechanisms clinical trials and new drug development strategies.pdf | alzheimer disease  2021.pdf</t>
  </si>
  <si>
    <t>A: SUPPORTED (Tau-PET imaging allows the detection of tauopathy that is largely specific for AD and is highly predictive of subsequent cognitive decline in both asymptomatic and symptomatic individuals. This is discussed in the review "Alzheimer disease," 2021.)
B: SUPPORTED (Structural MRI is often used as a first step to exclude other causes of cognitive impairment and allows the assessment of macroscopic brain atrophy, which is associated with AD. This is mentioned in the review "Alzheimer disease," 2021.)
C: SUPPORTED (CT was one of the first imaging modalities used to evaluate patients with cognitive impairment, although it has been largely superseded by MRI for research purposes. This is noted in the review "Alzheimer disease," 2021.)
D: SUPPORTED (FDG-PET detects reduced glucose metabolism in regions of the brain that are characteristic of AD and is useful for staging and predicting cognitive impairment. This is highlighted in the review "Alzheimer disease," 2021.)
ANSWER: ABCD</t>
  </si>
  <si>
    <t>What roles do CSF biomarkers play in AD diagnosis?</t>
  </si>
  <si>
    <t>A. Stage disease progression | B. Diagnose mild cognitive impairment | C. Indicate tau pathology | D. Replace neuropsychological testing</t>
  </si>
  <si>
    <t>Stage disease progression | Diagnose mild cognitive impairment | Indicate tau pathology</t>
  </si>
  <si>
    <t>B, C</t>
  </si>
  <si>
    <t>2024 Advancements and Challenges in Antiamyloid Therapy for.pdf | 2024 Immune Activation in Alzheimer Disease.pdf | Recent advances in Alzheimer’s disease mechanisms clinical trials and new drug development strategies.pdf | alzheimer disease  2021.pdf</t>
  </si>
  <si>
    <t>A: NOT SUPPORTED  
The papers do not provide clear evidence that CSF biomarkers are used to stage disease progression in Alzheimer's disease (AD). While they discuss the role of biomarkers in diagnosing and understanding the disease, they do not specifically mention staging.
B: SUPPORTED  
CSF biomarkers are mentioned as being useful in diagnosing mild cognitive impairment (MCI). The review states that "CSF biomarkers and incipient Alzheimer disease in patients with mild cognitive impairment" are significant, indicating their role in diagnosis (Alzheimer disease, 2021).
C: SUPPORTED  
CSF biomarkers, particularly p-tau181, are recognized as specific indicators of tau pathology in AD. The review states that "p-tau181 is considered a specific biomarker for tau pathology," supporting its role in indicating tau pathology (Alzheimer disease, 2021).
D: NOT SUPPORTED  
The papers do not support the idea that CSF biomarkers can replace neuropsychological testing. They discuss the importance of clinical diagnosis and the use of biomarkers in conjunction with clinical assessments, but do not suggest that biomarkers can replace neuropsychological testing.
ANSWER: B, C</t>
  </si>
  <si>
    <t>What effects does gut microbiota have in AD animal models?</t>
  </si>
  <si>
    <t>A. Promotes inflammation | B. Improves memory | C. Impairs spatial learning | D. Reduces tau levels</t>
  </si>
  <si>
    <t>A, C</t>
  </si>
  <si>
    <t>Promotes inflammation | Impairs spatial learning</t>
  </si>
  <si>
    <t>B</t>
  </si>
  <si>
    <t>2023-oxidative-damage-in-neurodegeneration-roles-in-the-pathogenesis-and-progression-of-alzheimer-disease.pdf | 2024 Advancements and Challenges in Antiamyloid Therapy for.pdf | 2024 Immune Activation in Alzheimer Disease.pdf | 2024 Neuroinflammation in Alzheimer disease.pdf | 2025 Updates on mouse models of Alzheimer’s disease.pdf | Recent advances in Alzheimer’s disease mechanisms clinical trials and new drug development strategies.pdf | alzheimer disease  2021.pdf</t>
  </si>
  <si>
    <t>A: NOT SUPPORTED  
The papers do not provide direct evidence that gut microbiota promotes inflammation in AD animal models. While they discuss the role of microbiota in modulating neuroinflammation, they do not explicitly state that gut microbiota promotes inflammation.
B: SUPPORTED  
The evidence indicates that therapy with probiotics (Bifidobacterium and Lactobacillus species) after antibiotic-induced microbiome depletion improves memory deficits in mouse models of AD (Neuroinflammation in Alzheimer disease, 2024).
C: NOT SUPPORTED  
The papers do not provide direct evidence that gut microbiota impairs spatial learning in AD animal models. They discuss cognitive deficits but do not specifically link these to the effects of gut microbiota.
D: NOT SUPPORTED  
There is no direct evidence in the papers that gut microbiota reduces tau levels in AD animal models. The focus is more on the effects of microbiota on memory and neuroinflammation rather than on tau pathology.
ANSWER: B</t>
  </si>
  <si>
    <t>Which sleep characteristics are associated with AD?</t>
  </si>
  <si>
    <t>A. Reduced REM duration | B. Abnormal slow-wave oscillations | C. Increased CSF tau during wakefulness | D. Stable sleep architecture</t>
  </si>
  <si>
    <t>Reduced REM duration | Abnormal slow-wave oscillations | Increased CSF tau during wakefulness</t>
  </si>
  <si>
    <t>2023-oxidative-damage-in-neurodegeneration-roles-in-the-pathogenesis-and-progression-of-alzheimer-disease.pdf | 2024 Advancements and Challenges in Antiamyloid Therapy for.pdf | 2024 Immune Activation in Alzheimer Disease.pdf | 2024 Linking activity dyshomeostasis and sleep disturbances in Alzheimer disease.pdf | 2024 Neuroinflammation in Alzheimer disease.pdf | 2025 Updates on mouse models of Alzheimer’s disease.pdf | Recent advances in Alzheimer’s disease mechanisms clinical trials and new drug development strategies.pdf | alzheimer disease  2021.pdf</t>
  </si>
  <si>
    <t>A: NOT SUPPORTED  
The papers do not provide direct evidence regarding reduced REM duration as a characteristic associated with Alzheimer's disease (AD).
B: SUPPORTED  
Abnormal slow-wave oscillations are discussed in the context of Alzheimer's disease. The review "Linking activity dyshomeostasis and sleep disturbances in Alzheimer disease" (2024) indicates that slow-wave activity patterns in mouse models of familial Alzheimer disease show alterations, such as shorter UP states and failed transitions, which are indicative of abnormal slow-wave oscillations.
C: NOT SUPPORTED  
There is no direct evidence in the provided papers linking increased CSF tau during wakefulness as a characteristic associated with Alzheimer's disease.
D: NOT SUPPORTED  
The papers do not provide direct evidence that stable sleep architecture is associated with Alzheimer's disease.
ANSWER: B</t>
  </si>
  <si>
    <t>Which interventions may improve cognition in MCI or early dementia?</t>
  </si>
  <si>
    <t>A. Melatonin | B. Rivastigmine | C. Suvorexant | D. Ketogenic diet</t>
  </si>
  <si>
    <t>Melatonin | Rivastigmine | Suvorexant</t>
  </si>
  <si>
    <t>2023-oxidative-damage-in-neurodegeneration-roles-in-the-pathogenesis-and-progression-of-alzheimer-disease.pdf | 2024 Advancements and Challenges in Antiamyloid Therapy for.pdf | 2024 Linking activity dyshomeostasis and sleep disturbances in Alzheimer disease.pdf | Recent advances in Alzheimer’s disease mechanisms clinical trials and new drug development strategies.pdf | alzheimer disease  2021.pdf</t>
  </si>
  <si>
    <t>A: NOT SUPPORTED  
The papers do not provide any evidence regarding the use of melatonin for improving cognition in MCI or early dementia.
B: SUPPORTED  
Rivastigmine is mentioned as a cholinesterase inhibitor that is approved for mild to moderate Alzheimer's disease, which suggests it may improve cognitive function in these populations (Alzheimer disease, 2021).
C: NOT SUPPORTED  
The papers do not provide any evidence regarding the use of suvorexant for improving cognition in MCI or early dementia.
D: NOT SUPPORTED  
The papers do not provide any evidence regarding the ketogenic diet for improving cognition in MCI or early dementia.
ANSWER: B</t>
  </si>
  <si>
    <t>A: SUPPORTED (The A-T-N framework includes amyloid beta as a key component, specifically mentioned as "Aβ" in the context of biomarkers for Alzheimer's disease in the review "Alzheimer disease," 2021.)
B: SUPPORTED (Tau is explicitly identified as a component of the A-T-N framework, referred to as "T" for tau pathology in the same review "Alzheimer disease," 2021.)
C: SUPPORTED (Neurodegeneration markers are included in the A-T-N framework as "N" markers, which are discussed in the context of neurodegeneration in the review "Recent advances in Alzheimer’s disease: mechanisms, clinical trials and new drug development strategies," year unknown.)
D: NOT SUPPORTED (Synaptic vesicle proteins are not mentioned as part of the A-T-N framework in the provided excerpts. The focus is on amyloid beta, tau, and neurodegeneration markers, with no direct reference to synaptic vesicle proteins.)
ANSWER: ABC</t>
  </si>
  <si>
    <t>A: NOT SUPPORTED  
The papers do not specifically mention sleep apnea as a contributing factor to AD progression.
B: NOT SUPPORTED  
There is no direct evidence in the papers indicating that long sleep duration contributes to AD progression.
C: SUPPORTED  
The review "Linking activity dyshomeostasis and sleep disturbances in Alzheimer disease" (2024) discusses how sleep characteristics change with age and how individuals with AD exhibit impairments in sleep patterns, which may include decreased nocturnal sleep time, suggesting that short sleep duration could be a factor in AD progression.
D: NOT SUPPORTED  
The papers do not specifically mention insomnia as a contributing factor to AD progression.
ANSWER: C</t>
  </si>
  <si>
    <t>A: NOT SUPPORTED  
The papers reviewed do not provide any direct evidence or discussion regarding Cognitive Behavioral Therapy for Insomnia (CBT-I) as a promising intervention for sleep-related Alzheimer's disease therapy.
B: NOT SUPPORTED  
There is no direct mention of suvorexant in the provided excerpts as a promising intervention for sleep-related Alzheimer's disease therapy.
C: NOT SUPPORTED  
The provided excerpts do not discuss Continuous Positive Airway Pressure (CPAP) as a promising intervention for sleep-related Alzheimer's disease therapy.
D: NOT SUPPORTED  
The papers do not mention ketamine as a promising intervention for sleep-related Alzheimer's disease therapy.
ANSWER: None supported.</t>
  </si>
  <si>
    <t>A: NOT SUPPORTED  
The papers do not provide direct evidence linking hypoxia to Alzheimer's disease (AD). While cerebrovascular factors are mentioned, hypoxia specifically is not discussed as an epidemiological factor for AD.
B: SUPPORTED  
The microbiota-gut-brain axis hypothesis is discussed in the context of AD, indicating that alterations in gut microbiota can influence brain function and potentially contribute to AD pathology (Recent advances in Alzheimer’s disease: mechanisms, clinical trials and new drug development strategies, year unknown).
C: NOT SUPPORTED  
There is no direct evidence in the papers linking high education levels to AD. The studies focus on other risk factors and do not mention education as a significant epidemiological factor.
D: SUPPORTED  
Dietary patterns, particularly the Mediterranean diet, are linked to AD risk, with evidence suggesting that unbalanced diets may influence AD outcomes and that multidomain strategies involving diet can alleviate cognitive decline (Oxidative damage in neurodegeneration: roles in the pathogenesis and progression of Alzheimer disease, 2023).
ANSWER: BD</t>
  </si>
  <si>
    <t>A: SUPPORTED (The review discusses tau-PET imaging as a method to detect tauopathy, which is largely specific for Alzheimer's disease and correlates with cognitive performance, indicating its use in diagnosis — "Tau-PET imaging allows the detection of tauopathy that is largely, though not entirely, specific for AD" - Alzheimer disease, 2021.)
B: SUPPORTED (MRI is mentioned as a necessary initial evaluation tool to exclude other causes of cognitive impairment and assess macroscopic brain atrophy, which is relevant for diagnosing Alzheimer's disease — "Structural MRI or CT are necessary in the initial evaluation of a person with suspected cognitive impairment" - Alzheimer disease, 2021.)
C: SUPPORTED (CT is also mentioned as a necessary initial evaluation tool alongside MRI for assessing cognitive impairment — "Structural MRI or CT are necessary in the initial evaluation of a person with suspected cognitive impairment" - Alzheimer disease, 2021.)
D: SUPPORTED (FDG-PET is highlighted as a useful imaging modality that reveals patterns of hypometabolism characteristic of Alzheimer's disease, supporting its role in diagnosis — "FDG-PET has revealed a pattern of temporal-parietal and hippocampal hypometabolism that precedes volume loss in the same regions and is highly characteristic of AD" - Alzheimer disease, 2021.)
ANSWER: ABCD</t>
  </si>
  <si>
    <t>A: NOT SUPPORTED  
The papers do not provide clear evidence that CSF biomarkers are used to stage disease progression in Alzheimer's disease (AD). While they discuss the role of biomarkers in diagnosing and understanding the disease, they do not specifically mention staging disease progression.
B: SUPPORTED  
CSF biomarkers are mentioned as being useful in diagnosing mild cognitive impairment (MCI). The review states that "CSF biomarkers and incipient Alzheimer disease in patients with mild cognitive impairment" are relevant, indicating their role in diagnosis (Alzheimer disease, 2021).
C: SUPPORTED  
CSF biomarkers, particularly p-tau181, are recognized as specific indicators of tau pathology in AD. The review states that "p-tau181 is considered a specific biomarker for tau pathology," supporting its role in indicating tau pathology (Alzheimer disease, 2021).
D: NOT SUPPORTED  
The papers do not support the idea that CSF biomarkers can replace neuropsychological testing. They discuss the importance of clinical characterization and the use of biomarkers in conjunction with clinical assessments, but do not suggest that biomarkers can replace neuropsychological testing.
ANSWER: B, C</t>
  </si>
  <si>
    <t>A: NOT SUPPORTED  
The papers do not provide direct evidence regarding reduced REM duration as a characteristic associated with Alzheimer's disease (AD).
B: SUPPORTED  
Abnormal slow-wave oscillations are discussed in the context of AD. The review "Linking activity dyshomeostasis and sleep disturbances in Alzheimer disease" (2024) indicates that slow-wave activity patterns in AD mouse models show altered transitions between UP and DOWN states, which suggests abnormal slow-wave oscillations.
C: NOT SUPPORTED  
There is no direct evidence in the provided papers linking increased CSF tau during wakefulness to sleep characteristics associated with AD.
D: NOT SUPPORTED  
The papers do not provide direct evidence regarding stable sleep architecture as a characteristic associated with AD.
ANSWER: B</t>
  </si>
  <si>
    <t>A: SUPPORTED (The A-T-N framework includes amyloid beta as a key component, specifically mentioned as "Aβ" in the context of biomarkers for Alzheimer's disease in the review "Alzheimer disease" from 2021.)
B: SUPPORTED (Tau is explicitly identified as a component of the A-T-N framework, referred to as "T" for tau pathology in the same review "Alzheimer disease" from 2021.)
C: SUPPORTED (Neurodegeneration markers are included in the A-T-N framework, categorized as "N" for neurodegeneration in the review "Alzheimer disease" from 2021.)
D: NOT SUPPORTED (Synaptic vesicle proteins are not mentioned as part of the A-T-N framework in the provided excerpts. The focus is on amyloid beta, tau, and neurodegeneration markers.)
ANSWER: ABC</t>
  </si>
  <si>
    <t>A: NOT SUPPORTED  
The papers do not specifically mention sleep apnea as a contributing factor to AD progression.
B: NOT SUPPORTED  
There is no direct evidence in the papers indicating that long sleep duration contributes to AD progression.
C: SUPPORTED  
The review "Linking activity dyshomeostasis and sleep disturbances in Alzheimer disease" (2024) discusses how sleep characteristics change with age and how individuals with AD exhibit impairments in sleep patterns, which may include decreased nocturnal sleep time. This implies that short sleep duration could be a factor in AD progression.
D: NOT SUPPORTED  
The papers do not specifically mention insomnia as a contributing factor to AD progression.
ANSWER: C</t>
  </si>
  <si>
    <t>A: NOT SUPPORTED  
The papers reviewed do not provide any direct evidence or discussion regarding Cognitive Behavioral Therapy for Insomnia (CBT-I) as a promising intervention for sleep-related Alzheimer's disease therapy.
B: NOT SUPPORTED  
There is no mention of Suvorexant in the provided excerpts as a promising intervention for sleep-related Alzheimer's disease therapy.
C: NOT SUPPORTED  
The provided excerpts do not discuss Continuous Positive Airway Pressure (CPAP) as a promising intervention for sleep-related Alzheimer's disease therapy.
D: NOT SUPPORTED  
The papers do not provide any direct evidence or discussion regarding Ketamine as a promising intervention for sleep-related Alzheimer's disease therapy.
ANSWER: None supported.</t>
  </si>
  <si>
    <t>A: NOT SUPPORTED  
The papers do not provide direct evidence linking hearing loss in older adults to decreased brain volume.
B: NOT SUPPORTED  
There is no direct evidence in the papers indicating that hearing loss leads to higher tau levels.
C: SUPPORTED  
The papers discuss that hearing loss is common in patients with Alzheimer's disease (AD) and can exacerbate short-term memory problems, which implies a potential decrease in social engagement due to communication difficulties (Alzheimer disease, 2021).
D: NOT SUPPORTED  
The papers do not provide evidence that hearing loss leads to enhanced neurogenesis.
ANSWER: C</t>
  </si>
  <si>
    <t>A: NOT SUPPORTED  
The papers do not provide direct evidence linking hypoxia to Alzheimer's disease (AD). While cerebrovascular factors are mentioned, hypoxia specifically is not discussed as a risk factor.
B: SUPPORTED  
The microbiota-gut-brain axis hypothesis is discussed, indicating that alterations in gut microbiota can influence brain function and potentially contribute to AD pathology (Recent advances in Alzheimer’s disease: mechanisms, clinical trials and new drug development strategies, year unknown).
C: NOT SUPPORTED  
There is no direct evidence in the papers linking high education levels to AD. The focus is primarily on age, genetic factors, and other modifiable risk factors.
D: SUPPORTED  
The role of diet, particularly the Mediterranean diet, is mentioned as being linked to AD risk, with specific dietary patterns associated with cognitive outcomes (Oxidative damage in neurodegeneration: roles in the pathogenesis and progression of Alzheimer disease, 2023).
ANSWER: BD</t>
  </si>
  <si>
    <t>A: SUPPORTED (The review discusses tau-PET imaging as a method to detect tauopathy, which is largely specific for Alzheimer's disease and correlates with cognitive performance, indicating its use in diagnosis — "Tau-PET imaging allows the detection of tauopathy that is largely, though not entirely, specific for AD" — Alzheimer disease, 2021.)
B: SUPPORTED (MRI is mentioned as a necessary initial evaluation tool to exclude other causes of cognitive impairment and assess macroscopic brain atrophy, which is relevant for diagnosing Alzheimer's disease — "Structural MRI or CT are necessary in the initial evaluation of a person with suspected cognitive impairment" — Alzheimer disease, 2021.)
C: SUPPORTED (CT is also mentioned alongside MRI as a necessary initial evaluation tool for cognitive impairment, indicating its role in the diagnostic process for Alzheimer's disease — "Structural MRI or CT are necessary in the initial evaluation of a person with suspected cognitive impairment" — Alzheimer disease, 2021.)
D: SUPPORTED (FDG-PET is highlighted as a method to detect reduced glucose metabolism in specific brain regions, which is characteristic of Alzheimer's disease and supports its use in diagnosis — "FDG-PET detects reduced glucose metabolism in the posterior cingulate and temporoparietal lobes" — Recent advances in Alzheimer’s disease: mechanisms, clinical trials and new drug development strategies, year unknown.)
ANSWER: ABCD</t>
  </si>
  <si>
    <t>A: NOT SUPPORTED  
The papers do not provide clear evidence that CSF biomarkers are used to stage disease progression in Alzheimer's disease (AD). They discuss the variability in cognitive progression and the role of biomarkers in diagnosis rather than staging.
B: SUPPORTED  
CSF biomarkers are mentioned as being useful in diagnosing mild cognitive impairment (MCI). Specifically, the review states that "CSF biomarkers and incipient Alzheimer disease in patients with mild cognitive impairment" are relevant for diagnosis (Alzheimer disease, 2021).
C: SUPPORTED  
CSF biomarkers, particularly p-tau181, are recognized as specific indicators of tau pathology in AD. The review states that "p-tau181 is considered a specific biomarker for tau pathology" (Alzheimer disease, 2021).
D: NOT SUPPORTED  
The papers do not indicate that CSF biomarkers can replace neuropsychological testing. They emphasize the importance of clinical characterization and the use of biomarkers in conjunction with clinical assessments rather than as a replacement.
ANSWER: BC</t>
  </si>
  <si>
    <t>A: NOT SUPPORTED  
The papers do not provide direct evidence that gut microbiota promotes inflammation in AD animal models. While they discuss the role of microbiota in modulating neuroinflammation, they do not explicitly state that gut microbiota promotes inflammation.
B: SUPPORTED  
The evidence indicates that therapy with probiotics (Bifidobacterium and Lactobacillus species) after antibiotic-induced microbiome depletion improves memory deficits in mouse models of AD (Neuroinflammation in Alzheimer disease, 2024).
C: NOT SUPPORTED  
The papers do not provide direct evidence that gut microbiota impairs spatial learning in AD animal models. They discuss cognitive deficits but do not specifically link these to the effects of gut microbiota.
D: NOT SUPPORTED  
There is no direct evidence in the papers that gut microbiota reduces tau levels in AD animal models. The focus is more on the effects of microbiota on memory and neuroinflammation rather than on tau levels.
ANSWER: B</t>
  </si>
  <si>
    <t>A: NOT SUPPORTED  
The papers do not provide direct evidence regarding reduced REM duration as a characteristic associated with Alzheimer's disease (AD).
B: SUPPORTED  
Abnormal slow-wave oscillations are discussed in the context of Alzheimer's disease. The review "Linking activity dyshomeostasis and sleep disturbances in Alzheimer disease" (2024) indicates that slow-wave activity patterns in mouse models of familial AD show alterations, such as shorter UP states and failed transitions from DOWN to UP states, which are indicative of abnormal slow-wave oscillations.
C: NOT SUPPORTED  
There is no direct evidence in the provided papers linking increased CSF tau during wakefulness as a characteristic associated with Alzheimer's disease.
D: NOT SUPPORTED  
The papers do not provide direct evidence that stable sleep architecture is associated with Alzheimer's disease.
ANSWER: B</t>
  </si>
  <si>
    <t>A: NOT SUPPORTED  
The papers reviewed do not provide any direct evidence or discussion regarding Cognitive Behavioral Therapy for Insomnia (CBT-I) as a promising intervention for sleep-related Alzheimer's disease therapy.
B: NOT SUPPORTED  
There is no direct mention of Suvorexant in the provided excerpts as a promising intervention for sleep-related Alzheimer's disease therapy.
C: NOT SUPPORTED  
The papers do not discuss Continuous Positive Airway Pressure (CPAP) as a promising intervention for sleep-related Alzheimer's disease therapy.
D: NOT SUPPORTED  
There is no direct evidence or discussion regarding Ketamine as a promising intervention for sleep-related Alzheimer's disease therapy in the reviewed papers.
ANSWER: None supported.</t>
  </si>
  <si>
    <t>A: NOT SUPPORTED  
The papers do not provide direct evidence linking hearing loss in older adults to decreased brain volume.
B: NOT SUPPORTED  
There is no direct evidence in the papers indicating that hearing loss leads to higher tau levels.
C: SUPPORTED  
The papers discuss that hearing loss is common in patients with Alzheimer's disease (AD) and can exacerbate short-term memory problems, which implies a potential decrease in social engagement due to communication difficulties (Alzheimer disease, 2021).
D: NOT SUPPORTED  
The papers do not provide evidence that hearing loss in older adults leads to enhanced neurogenesis.
ANSWER: C</t>
  </si>
  <si>
    <t>A: SUPPORTED (The review discusses tau-PET imaging as a method to detect tauopathy, which is largely specific for Alzheimer's disease and correlates with cognitive performance, indicating its use in diagnosis — "Alzheimer disease, 2021".)
B: SUPPORTED (MRI is mentioned as a necessary initial evaluation tool to exclude other causes of cognitive impairment and assess macroscopic brain atrophy, which is associated with Alzheimer's disease — "Alzheimer disease, 2021".)
C: NOT SUPPORTED (CT is mentioned as an early imaging modality but is stated to have been superseded by MRI for research purposes, indicating it is not a primary tool for diagnosing Alzheimer's disease — "Alzheimer disease, 2021".)
D: SUPPORTED (FDG-PET is highlighted for detecting reduced glucose metabolism in specific brain regions and is used to assess the severity of cognitive impairment in Alzheimer's disease — "Alzheimer disease, 2021".)
ANSWER: ABD</t>
  </si>
  <si>
    <t>A: NOT SUPPORTED  
The papers do not provide clear evidence that CSF biomarkers are used to stage disease progression in Alzheimer's disease (AD). While they discuss the role of biomarkers in diagnosing and understanding AD, they do not specifically mention staging disease progression.
B: SUPPORTED  
CSF biomarkers are mentioned as useful in diagnosing mild cognitive impairment (MCI). The review states that both CSF p-tau181 and t-tau are typically increased in MCI and dementia due to AD (Alzheimer disease, 2021).
C: SUPPORTED  
CSF biomarkers, particularly p-tau181, are recognized as specific indicators of tau pathology in AD. The review highlights that p-tau181 is considered a specific biomarker for tau pathology (Alzheimer disease, 2021).
D: NOT SUPPORTED  
The papers do not indicate that CSF biomarkers can replace neuropsychological testing. They discuss the role of biomarkers in conjunction with clinical assessments but do not suggest that they can substitute for neuropsychological evaluations.
ANSWER: B, C</t>
  </si>
  <si>
    <t>A: NOT SUPPORTED  
The papers do not provide direct evidence that gut microbiota promotes inflammation in AD animal models. While they discuss the role of microbiota in modulating neuroinflammation, they do not explicitly state that gut microbiota promotes inflammation.
B: SUPPORTED  
The evidence indicates that therapy with Bifidobacterium and Lactobacillus species-based probiotics after antibiotic administration improves memory deficits in mouse models of AD (Neuroinflammation in Alzheimer disease, 2024).
C: NOT SUPPORTED  
The papers do not provide direct evidence that gut microbiota impairs spatial learning in AD animal models. They discuss cognitive deficits but do not specifically link these to the effects of gut microbiota.
D: NOT SUPPORTED  
There is no direct evidence in the papers that gut microbiota reduces tau levels in AD animal models. The focus is more on the effects of microbiota on memory and neuroinflammation rather than on tau pathology.
ANSWER: B</t>
  </si>
  <si>
    <t>A: NOT SUPPORTED  
The papers do not provide direct evidence regarding reduced REM duration as a characteristic associated with Alzheimer's disease (AD).
B: SUPPORTED  
Abnormal slow-wave oscillations are discussed in the context of Alzheimer's disease. The review "Linking activity dyshomeostasis and sleep disturbances in Alzheimer disease" (2024) indicates that slow-wave activity patterns in mouse models of familial Alzheimer disease show alterations, such as shorter UP states and failed transitions from DOWN to UP states, which are indicative of abnormal slow-wave oscillations.
C: NOT SUPPORTED  
There is no direct evidence in the provided papers linking increased CSF tau during wakefulness as a characteristic associated with Alzheimer's disease.
D: NOT SUPPORTED  
The papers do not provide direct evidence that stable sleep architecture is associated with Alzheimer's disease.
ANSWER: B</t>
  </si>
  <si>
    <t>A: NOT SUPPORTED  
The papers do not provide any evidence regarding the use of melatonin for improving cognition in MCI or early dementia.
B: SUPPORTED  
Rivastigmine is mentioned as a cholinesterase inhibitor that is approved for mild to moderate Alzheimer's disease, which includes patients with MCI. It is indicated for improving cognitive function in these populations (Alzheimer disease, 2021).
C: NOT SUPPORTED  
The papers do not provide any evidence regarding the use of suvorexant for improving cognition in MCI or early dementia.
D: NOT SUPPORTED  
The papers do not provide any evidence regarding the ketogenic diet for improving cognition in MCI or early dementia.
ANSWER: B</t>
  </si>
  <si>
    <t>A: SUPPORTED (The A-T-N framework includes amyloid beta as a key component, specifically mentioned as "Aβ" in the context of biomarkers for Alzheimer's disease in the review "Alzheimer disease" from 2021.)
B: SUPPORTED (Tau is explicitly identified as a component of the A-T-N framework, referred to as "T" for tau pathology in the same review "Alzheimer disease" from 2021.)
C: SUPPORTED (Neurodegeneration markers are included in the A-T-N framework, categorized as "N" for neurodegeneration in the review "Alzheimer disease" from 2021.)
D: NOT SUPPORTED (Synaptic vesicle proteins are not mentioned as part of the A-T-N framework in the provided excerpts; the focus is on amyloid beta, tau, and neurodegeneration markers.)
ANSWER: ABC</t>
  </si>
  <si>
    <t>A: NOT SUPPORTED  
The papers do not specifically mention sleep apnea as a contributing factor to AD progression.
B: NOT SUPPORTED  
There is no direct evidence in the papers indicating that long sleep duration contributes to AD progression.
C: SUPPORTED  
The review "Linking activity dyshomeostasis and sleep disturbances in Alzheimer disease" (2024) discusses how sleep characteristics change with age and how these changes, including decreased nocturnal sleep time, may be part of AD pathogenesis.
D: NOT SUPPORTED  
The papers do not specifically mention insomnia as a contributing factor to AD progression.
ANSWER: C</t>
  </si>
  <si>
    <t>A: NOT SUPPORTED  
The papers reviewed do not provide any direct evidence regarding Cognitive Behavioral Therapy for Insomnia (CBT-I) as a promising intervention for sleep-related Alzheimer's disease therapy.
B: NOT SUPPORTED  
There is no direct mention of suvorexant as a promising intervention for sleep-related Alzheimer's disease therapy in the reviewed papers.
C: NOT SUPPORTED  
The reviewed papers do not discuss Continuous Positive Airway Pressure (CPAP) as a promising intervention for sleep-related Alzheimer's disease therapy.
D: NOT SUPPORTED  
The papers do not provide any direct evidence regarding ketamine as a promising intervention for sleep-related Alzheimer's disease therapy.
ANSWER: None supported.</t>
  </si>
  <si>
    <t>A: NOT SUPPORTED  
The papers do not provide direct evidence linking hearing loss in older adults to decreased brain volume.
B: NOT SUPPORTED  
There is no direct evidence in the papers indicating that hearing loss leads to higher tau levels.
C: SUPPORTED  
Hearing loss is mentioned as a common issue in patients with Alzheimer's disease (AD) and can exacerbate short-term memory problems, which implies a potential link to lower social engagement due to communication difficulties (Alzheimer disease, 2021).
D: NOT SUPPORTED  
The papers do not provide evidence that hearing loss in older adults leads to enhanced neurogenesis.
ANSWER: C</t>
  </si>
  <si>
    <t>A: NOT SUPPORTED  
The papers do not provide direct evidence linking hypoxia to Alzheimer's disease (AD). While cerebrovascular factors are mentioned, hypoxia specifically is not discussed as an epidemiological factor for AD.
B: SUPPORTED  
The microbiota-gut-brain axis hypothesis is discussed in the context of potential pathways for novel therapeutic strategies in AD, indicating that gut microbiota imbalance may influence brain function and contribute to AD pathology (Recent advances in Alzheimer’s disease: mechanisms, clinical trials and new drug development strategies, year unknown).
C: NOT SUPPORTED  
There is no direct evidence in the papers linking high education levels to AD. The papers focus on other risk factors and do not mention education as a factor.
D: SUPPORTED  
The role of diet, particularly the Mediterranean diet, is discussed in relation to AD risk and prevention strategies. Specific dietary patterns have been linked to AD risk, and a well-balanced diet is suggested as a reasonable approach to optimize health status (Oxidative damage in neurodegeneration: roles in the pathogenesis and progression of Alzheimer disease, 2023).
ANSWER: BD</t>
  </si>
  <si>
    <t>A: SUPPORTED (The review discusses tau-PET imaging as a method to detect tauopathy, which is largely specific for Alzheimer's disease and correlates with cognitive performance, indicating its use in diagnosis — "Tau-PET imaging allows the detection of tauopathy that is largely, though not entirely, specific for AD" - Alzheimer disease, 2021.)
B: SUPPORTED (MRI is mentioned as a necessary initial evaluation tool to exclude other causes of cognitive impairment and assess macroscopic brain atrophy, which is relevant for diagnosing Alzheimer's disease — "Structural MRI or CT are necessary in the initial evaluation of a person with suspected cognitive impairment" - Alzheimer disease, 2021.)
C: SUPPORTED (CT is mentioned alongside MRI as an imaging modality used to evaluate patients with cognitive impairment, although MRI is preferred for research purposes — "CT, FDG-PET and MRI were the first imaging modalities used to evaluate patients with cognitive impairment" - Alzheimer disease, 2021.)
D: SUPPORTED (FDG-PET is highlighted for its ability to detect reduced glucose metabolism in specific brain regions, which is characteristic of Alzheimer's disease — "18fluorodeoxyglucose (18FDG)-PET detects reduced glucose metabolism in the posterior cingulate and temporoparietal lobes" - Recent advances in Alzheimer’s disease: mechanisms, clinical trials and new drug development strategies, year unknown.)
ANSWER: ABCD</t>
  </si>
  <si>
    <t>A: NOT SUPPORTED  
The papers do not provide clear evidence that CSF biomarkers are used to stage disease progression in Alzheimer's disease (AD). While they discuss the role of biomarkers in diagnosing and indicating pathology, staging is not explicitly mentioned.
B: SUPPORTED  
CSF biomarkers are mentioned as being used in the diagnosis of mild cognitive impairment (MCI). The review states that both CSF p-tau181 and t-tau are typically increased in MCI and dementia due to AD (Alzheimer disease, 2021).
C: SUPPORTED  
CSF biomarkers, specifically p-tau181, are recognized as specific biomarkers for tau pathology in AD. The review indicates that p-tau181 is markedly increased in AD, supporting its role in indicating tau pathology (Alzheimer disease, 2021).
D: NOT SUPPORTED  
The papers do not support the idea that CSF biomarkers can replace neuropsychological testing. They discuss the use of biomarkers in conjunction with clinical characterization but do not suggest that they can replace traditional cognitive assessments.
ANSWER: B, C</t>
  </si>
  <si>
    <t>A: NOT SUPPORTED  
The papers do not provide direct evidence that gut microbiota promotes inflammation in AD animal models. While they discuss the role of microbiota in modulating neuroinflammation, they do not explicitly state that it promotes inflammation.
B: SUPPORTED  
The evidence indicates that therapy with probiotics (Bifidobacterium and Lactobacillus species) after antibiotic-induced microbiome depletion improves memory deficits in mouse models of AD (Neuroinflammation in Alzheimer disease, 2024).
C: NOT SUPPORTED  
The papers do not provide direct evidence that gut microbiota impairs spatial learning in AD animal models. They discuss cognitive deficits but do not specifically link these to the effects of gut microbiota.
D: NOT SUPPORTED  
There is no direct evidence in the papers that gut microbiota reduces tau levels in AD animal models. The focus is more on the effects of microbiota on memory and neuroinflammation rather than on tau levels.
ANSWER: B</t>
  </si>
  <si>
    <t>A: NOT SUPPORTED  
The papers do not provide direct evidence regarding reduced REM duration as a characteristic associated with Alzheimer's disease (AD).
B: SUPPORTED  
Abnormal slow-wave oscillations are discussed in the context of AD. The review "Linking activity dyshomeostasis and sleep disturbances in Alzheimer disease" (2024) indicates that slow-wave activity patterns in AD mouse models show altered transitions between UP and DOWN states, which suggests abnormal slow-wave oscillations.
C: NOT SUPPORTED  
There is no direct evidence in the provided papers linking increased CSF tau during wakefulness as a characteristic associated with AD.
D: NOT SUPPORTED  
The papers do not provide direct evidence regarding stable sleep architecture as a characteristic associated with AD.
ANSWER: B</t>
  </si>
  <si>
    <t>cosine retrieval + evidence quality</t>
  </si>
  <si>
    <t>A: SUPPORTED (The A-T-N framework includes amyloid beta as a key component, specifically mentioned as "Aβ" in the context of biomarkers for Alzheimer's disease in the review "Alzheimer disease," 2021.)
B: SUPPORTED (Tau is explicitly identified as a component of the A-T-N framework, referred to as "T" for tau pathology in the same review "Alzheimer disease," 2021.)
C: SUPPORTED (Neurodegeneration markers are included in the A-T-N framework as "N" for neurodegeneration, as discussed in the review "Recent advances in Alzheimer’s disease: mechanisms, clinical trials and new drug development strategies," year unknown.)
D: NOT SUPPORTED (Synaptic vesicle proteins are not mentioned as part of the A-T-N framework in the provided excerpts; the focus is on amyloid beta, tau, and neurodegeneration markers.)
ANSWER: ABC</t>
  </si>
  <si>
    <t>A: NOT SUPPORTED  
The papers reviewed do not provide any direct evidence or mention of Cognitive Behavioral Therapy for Insomnia (CBT-I) as a promising intervention for sleep-related Alzheimer's disease therapy.
B: NOT SUPPORTED  
The papers reviewed do not provide any direct evidence or mention of Suvorexant as a promising intervention for sleep-related Alzheimer's disease therapy.
C: NOT SUPPORTED  
The papers reviewed do not provide any direct evidence or mention of Continuous Positive Airway Pressure (CPAP) as a promising intervention for sleep-related Alzheimer's disease therapy.
D: NOT SUPPORTED  
The papers reviewed do not provide any direct evidence or mention of Ketamine as a promising intervention for sleep-related Alzheimer's disease therapy.
ANSWER: None supported.</t>
  </si>
  <si>
    <t>A: NOT SUPPORTED  
The papers do not provide direct evidence linking hypoxia to Alzheimer's disease (AD). While cerebrovascular factors are mentioned, hypoxia specifically is not discussed as an epidemiological factor in the context of AD.
B: SUPPORTED  
The microbiota-gut-brain axis hypothesis is discussed, indicating that alterations in gut microbiota can influence brain function and potentially contribute to AD pathology (Recent advances in Alzheimer’s disease: mechanisms, clinical trials and new drug development strategies, year unknown).
C: NOT SUPPORTED  
There is no direct evidence in the papers linking high education levels to AD. The studies focus on other risk factors and do not mention education as a significant epidemiological factor.
D: SUPPORTED  
The role of diet, particularly the Mediterranean diet, is highlighted as being linked to AD risk, with specific dietary patterns associated with cognitive outcomes (Oxidative damage in neurodegeneration: roles in the pathogenesis and progression of Alzheimer disease, 2023).
ANSWER: BD</t>
  </si>
  <si>
    <t>A: SUPPORTED (Tau-PET imaging allows the detection of tauopathy that is largely specific for AD and is highly predictive of subsequent cognitive decline in both asymptomatic and symptomatic individuals. This is discussed in "Alzheimer disease," 2021.)
B: SUPPORTED (Structural MRI is often used as a first step to exclude other causes of cognitive impairment and allows the assessment of macroscopic brain atrophy, which is associated with AD. This is mentioned in "Alzheimer disease," 2021.)
C: SUPPORTED (CT was one of the first imaging modalities used to evaluate patients with cognitive impairment, although it has been largely superseded by MRI for research purposes. This is noted in "Alzheimer disease," 2021.)
D: SUPPORTED (FDG-PET detects reduced glucose metabolism in specific brain regions and is useful for assessing the severity of cognitive impairment in AD. This is highlighted in "Alzheimer disease," 2021.)
ANSWER: ABCD</t>
  </si>
  <si>
    <t>A: NOT SUPPORTED  
The papers do not provide clear evidence that CSF biomarkers are used to stage disease progression in Alzheimer's disease (AD). While they discuss the role of biomarkers in diagnosing and understanding the disease, they do not specifically mention staging progression.
B: SUPPORTED  
CSF biomarkers are mentioned as being useful in diagnosing mild cognitive impairment (MCI). The review states that both CSF p-tau181 and t-tau are typically increased in MCI and dementia due to AD (Alzheimer disease, 2021).
C: SUPPORTED  
CSF biomarkers, particularly p-tau181, are recognized as specific indicators of tau pathology in AD. The review highlights that p-tau181 is considered a specific biomarker for tau pathology, supporting its role in indicating tau pathology (Alzheimer disease, 2021).
D: NOT SUPPORTED  
The papers do not indicate that CSF biomarkers can replace neuropsychological testing. They discuss the importance of clinical diagnosis and the role of biomarkers in conjunction with clinical assessments, but do not suggest that they can replace neuropsychological testing.
ANSWER: B, C</t>
  </si>
  <si>
    <t>A: NOT SUPPORTED  
The papers do not specifically mention sleep apnea as a contributing factor to AD progression.
B: NOT SUPPORTED  
There is no direct evidence in the papers indicating that long sleep duration contributes to AD progression.
C: SUPPORTED  
The review "Linking activity dyshomeostasis and sleep disturbances in Alzheimer disease" (2024) discusses how sleep characteristics change with age and how these changes, including decreased nocturnal sleep time, may be part of AD pathogenesis. This implies that short sleep duration could be a contributing factor.
D: NOT SUPPORTED  
The papers do not specifically mention insomnia as a contributing factor to AD progression.
ANSWER: C</t>
  </si>
  <si>
    <t>A: NOT SUPPORTED  
The papers reviewed do not provide any direct evidence or mention of Cognitive Behavioral Therapy for Insomnia (CBT-I) as a promising intervention for sleep-related Alzheimer's disease therapy.
B: NOT SUPPORTED  
There is no direct mention of Suvorexant in the context of sleep-related Alzheimer's disease therapy in the reviewed papers.
C: NOT SUPPORTED  
The reviewed papers do not discuss Continuous Positive Airway Pressure (CPAP) as a promising intervention for sleep-related Alzheimer's disease therapy.
D: NOT SUPPORTED  
The papers do not provide any direct evidence or mention of Ketamine as a promising intervention for sleep-related Alzheimer's disease therapy.
ANSWER: None supported.</t>
  </si>
  <si>
    <t>A: NOT SUPPORTED  
The papers do not provide direct evidence linking hypoxia to Alzheimer's disease (AD). While cerebrovascular factors are mentioned, hypoxia specifically is not discussed as an epidemiological factor for AD.
B: SUPPORTED  
The microbiota-gut-brain axis hypothesis is discussed, indicating that alterations in gut microbiota can influence brain function and potentially contribute to AD pathology (Recent advances in Alzheimer’s disease: mechanisms, clinical trials and new drug development strategies, year unknown).
C: NOT SUPPORTED  
There is no direct evidence in the papers linking high education levels to AD. The focus is primarily on age, genetic factors, and other modifiable risk factors.
D: SUPPORTED  
The role of diet, particularly the Mediterranean diet, is mentioned as being linked to AD risk, with specific dietary patterns associated with cognitive outcomes (Oxidative damage in neurodegeneration: roles in the pathogenesis and progression of Alzheimer disease, 2023).
ANSWER: BD</t>
  </si>
  <si>
    <t>A: SUPPORTED (The review discusses tau-PET imaging as a method to detect tauopathy, which is largely specific for Alzheimer's disease and correlates with cognitive performance, indicating its use in diagnosis — "Alzheimer disease, 2021".)
B: SUPPORTED (MRI is mentioned as a necessary initial evaluation tool to exclude other causes of cognitive impairment and assess macroscopic brain atrophy, which is relevant for diagnosing Alzheimer's disease — "Alzheimer disease, 2021".)
C: NOT SUPPORTED (CT is mentioned as an early imaging modality but is stated to have been superseded by MRI for research purposes, indicating it is not a primary tool for diagnosing Alzheimer's disease — "Alzheimer disease, 2021".)
D: SUPPORTED (FDG-PET is highlighted for detecting reduced glucose metabolism in specific brain regions and is used in the diagnostic investigation of Alzheimer's disease — "Alzheimer disease, 2021".)
ANSWER: ABD</t>
  </si>
  <si>
    <t>A: NOT SUPPORTED  
The papers do not provide clear evidence that CSF biomarkers are used to stage disease progression in Alzheimer's disease (AD). While they discuss the role of biomarkers in diagnosing and understanding AD, they do not specifically mention staging disease progression.
B: SUPPORTED  
CSF biomarkers are mentioned as being useful in diagnosing mild cognitive impairment (MCI). The review states that both CSF p-tau181 and t-tau are typically increased in MCI and dementia due to AD (Alzheimer disease, 2021).
C: SUPPORTED  
CSF biomarkers, particularly p-tau181, are recognized as specific indicators of tau pathology in AD. The review highlights that p-tau181 is considered a specific biomarker for tau pathology, supporting its role in indicating tau pathology (Alzheimer disease, 2021).
D: NOT SUPPORTED  
The papers do not support the idea that CSF biomarkers can replace neuropsychological testing. They discuss the importance of clinical diagnosis and the role of biomarkers in conjunction with clinical assessments, but do not suggest that biomarkers can replace neuropsychological testing.
ANSWER: B, C</t>
  </si>
  <si>
    <t>A: SUPPORTED (The A-T-N framework includes amyloid beta as a key component, specifically mentioned as "Aβ" in the context of biomarkers for Alzheimer's disease in the review "Alzheimer disease" from 2021.)
B: SUPPORTED (Tau is explicitly included in the A-T-N framework as the "T" component, with references to phosphorylated tau (p-tau) and neurofibrillary tangles in the same review "Alzheimer disease" from 2021.)
C: SUPPORTED (Neurodegeneration markers are identified as the "N" component of the A-T-N framework, which includes total tau and neurofilament light chain as indicators of neurodegeneration in the review "Alzheimer disease" from 2021.)
D: NOT SUPPORTED (Synaptic vesicle proteins are not mentioned as part of the A-T-N framework in the provided excerpts. The focus is on amyloid beta, tau, and neurodegeneration markers, with no direct reference to synaptic vesicle proteins.)
ANSWER: ABC</t>
  </si>
  <si>
    <t>A: NOT SUPPORTED  
The papers do not provide direct evidence linking hypoxia to Alzheimer's disease (AD). While cerebrovascular factors are mentioned, hypoxia specifically is not discussed as an epidemiological factor for AD.
B: SUPPORTED  
The microbiota-gut-brain axis hypothesis is discussed, indicating that alterations in gut microbiota can influence brain function and potentially contribute to AD pathology (Recent advances in Alzheimer’s disease: mechanisms, clinical trials and new drug development strategies, year unknown).
C: NOT SUPPORTED  
There is no direct evidence in the papers linking high education levels to AD. The papers focus on other risk factors and do not mention education as a factor.
D: SUPPORTED  
The role of diet, particularly the Mediterranean diet, is highlighted as being linked to AD risk, with specific dietary patterns associated with cognitive outcomes (Oxidative damage in neurodegeneration: roles in the pathogenesis and progression of Alzheimer disease, 2023).
ANSWER: BD</t>
  </si>
  <si>
    <t>A: NOT SUPPORTED  
The papers do not provide clear evidence that CSF biomarkers are used to stage disease progression in Alzheimer's disease (AD). While they discuss the role of biomarkers in diagnosing and understanding AD, they do not specifically mention staging disease progression.
B: SUPPORTED  
CSF biomarkers are mentioned as useful in diagnosing mild cognitive impairment (MCI). The review states that both CSF p-tau181 and t-tau are typically increased in MCI and dementia due to AD (Alzheimer disease, 2021).
C: SUPPORTED  
CSF biomarkers, particularly p-tau181, are recognized as specific indicators of tau pathology in AD. The review highlights that p-tau181 is considered a specific biomarker for tau pathology (Alzheimer disease, 2021).
D: NOT SUPPORTED  
The papers do not indicate that CSF biomarkers can replace neuropsychological testing. They discuss the role of biomarkers in conjunction with clinical assessments but do not suggest that they can serve as a substitute for neuropsychological evaluations.
ANSWER: B, C</t>
  </si>
  <si>
    <t>A: NOT SUPPORTED  
The papers do not provide direct evidence that gut microbiota promotes inflammation in AD animal models. While they discuss the role of microbiota in modulating neuroinflammation, they do not explicitly state that gut microbiota promotes inflammation.
B: SUPPORTED  
The evidence indicates that therapy with Bifidobacterium and Lactobacillus species-based probiotics after antibiotic administration improves memory deficits in mouse models of AD (Neuroinflammation in Alzheimer disease, 2024).
C: NOT SUPPORTED  
The papers do not provide direct evidence that gut microbiota impairs spatial learning in AD animal models. They discuss cognitive deficits but do not specifically link these to the effects of gut microbiota.
D: NOT SUPPORTED  
There is no direct evidence in the papers that gut microbiota reduces tau levels in AD animal models. The focus is more on the effects of microbiota on memory and neuroinflammation rather than on tau levels.
ANSWER: B</t>
  </si>
  <si>
    <t>A: NOT SUPPORTED  
The papers do not provide any evidence regarding the use of melatonin for improving cognition in MCI or early dementia.
B: SUPPORTED  
Rivastigmine is mentioned as a cholinesterase inhibitor that is approved for mild to moderate Alzheimer's disease, which includes patients with MCI. It is part of the pharmacological approaches for Alzheimer's disease (Alzheimer disease, 2021).
C: NOT SUPPORTED  
The papers do not provide any evidence regarding the use of suvorexant for improving cognition in MCI or early dementia.
D: NOT SUPPORTED  
The papers do not provide any evidence regarding the ketogenic diet for improving cognition in MCI or early dementia.
ANSWER: B</t>
  </si>
  <si>
    <t>A: SUPPORTED (The A-T-N framework includes amyloid beta as a key component, specifically mentioned as "Aβ" in the context of biomarkers for Alzheimer's disease in the review "Alzheimer disease" (2021).)
B: SUPPORTED (Tau is explicitly identified as a component of the A-T-N framework, referred to as "T" for tau pathology in the same review "Alzheimer disease" (2021).)
C: SUPPORTED (Neurodegeneration markers are included in the A-T-N framework as "N" markers, which are discussed in the context of neurodegeneration in the review "Recent advances in Alzheimer’s disease: mechanisms, clinical trials and new drug development strategies" (year unknown).)
D: NOT SUPPORTED (Synaptic vesicle proteins are not mentioned as part of the A-T-N framework in either of the reviewed papers. The focus is on amyloid beta, tau, and neurodegeneration markers, with no direct reference to synaptic vesicle proteins.)
ANSWER: ABC</t>
  </si>
  <si>
    <t>A: NOT SUPPORTED  
The papers reviewed do not provide any direct evidence or discussion regarding Cognitive Behavioral Therapy for Insomnia (CBT-I) as a promising intervention for sleep-related Alzheimer's disease therapy.
B: NOT SUPPORTED  
There is no direct mention of suvorexant in the provided excerpts as a promising intervention for sleep-related Alzheimer's disease therapy.
C: NOT SUPPORTED  
The papers do not discuss Continuous Positive Airway Pressure (CPAP) as a promising intervention for sleep-related Alzheimer's disease therapy.
D: NOT SUPPORTED  
The provided excerpts do not mention ketamine as a promising intervention for sleep-related Alzheimer's disease therapy.
ANSWER: None supported.</t>
  </si>
  <si>
    <t>A: SUPPORTED (The review discusses tau-PET imaging as a method to detect tauopathy, which is largely specific for Alzheimer's disease and correlates with cognitive performance, indicating its use in diagnosis — "Alzheimer disease, 2021".)
B: SUPPORTED (MRI is mentioned as a necessary initial evaluation tool to exclude other causes of cognitive impairment and assess macroscopic brain atrophy, which is relevant for diagnosing Alzheimer's disease — "Alzheimer disease, 2021".)
C: NOT SUPPORTED (CT is mentioned as an imaging modality used in the past, but it has been largely superseded by MRI for research purposes and lacks specificity for Alzheimer's disease — "Alzheimer disease, 2021".)
D: SUPPORTED (FDG-PET is highlighted as useful for assessing glucose metabolism in regions affected by Alzheimer's disease and correlates with cognitive impairment, supporting its role in diagnosis — "Alzheimer disease, 2021".)
ANSWER: ABD</t>
  </si>
  <si>
    <t>A: NOT SUPPORTED  
The papers do not provide clear evidence that CSF biomarkers are used to stage disease progression in Alzheimer's disease (AD). They discuss the variability in cognitive progression and the role of biomarkers in diagnosis rather than staging.
B: SUPPORTED  
CSF biomarkers are mentioned as being used in the diagnosis of mild cognitive impairment (MCI). Specifically, the review states that "CSF biomarkers and incipient Alzheimer disease in patients with mild cognitive impairment" are relevant for diagnosis (Alzheimer disease, 2021).
C: SUPPORTED  
CSF biomarkers, particularly p-tau181, are recognized as specific indicators of tau pathology in AD. The review states that "p-tau181 is considered a specific biomarker for tau pathology" (Alzheimer disease, 2021).
D: NOT SUPPORTED  
The papers do not indicate that CSF biomarkers replace neuropsychological testing. Instead, they emphasize the role of biomarkers in conjunction with clinical characterization and other diagnostic methods.
ANSWER: BC</t>
  </si>
  <si>
    <t>A: NOT SUPPORTED  
The papers do not provide direct evidence that gut microbiota promotes inflammation in AD animal models. While they discuss the role of microbiota in modulating neuroinflammation, they do not explicitly state that it promotes inflammation.
B: SUPPORTED  
The evidence indicates that therapy with probiotics (Bifidobacterium and Lactobacillus species) after antibiotic-induced microbiome depletion improves memory deficits in mouse models of AD (Neuroinflammation in Alzheimer disease, 2024).
C: NOT SUPPORTED  
There is no direct evidence in the papers indicating that gut microbiota impairs spatial learning in AD animal models. The focus is more on memory improvement rather than impairment.
D: NOT SUPPORTED  
The papers do not provide direct evidence that gut microbiota reduces tau levels in AD animal models. They discuss the effects of microbiota on various aspects of AD pathology but do not specifically mention tau levels.
ANSWER: B</t>
  </si>
  <si>
    <t>A: SUPPORTED (The A-T-N framework includes amyloid beta as a key component, specifically mentioned as "Aβ" in the context of biomarkers for Alzheimer's disease in the review "Alzheimer disease" (2021).)
B: SUPPORTED (Tau is explicitly identified as a component of the A-T-N framework, referred to as "T" for tau pathology in the same review "Alzheimer disease" (2021).)
C: SUPPORTED (Neurodegeneration markers are included in the A-T-N framework as "N" markers, which are discussed in the context of neurodegeneration in the review "Recent advances in Alzheimer’s disease: mechanisms, clinical trials and new drug development strategies" (year unknown).)
D: NOT SUPPORTED (Synaptic vesicle proteins are not mentioned as part of the A-T-N framework in either of the reviewed papers. The focus is on amyloid beta, tau, and neurodegeneration markers.)
ANSWER: ABC</t>
  </si>
  <si>
    <t>A: NOT SUPPORTED  
The papers reviewed do not provide any direct evidence or mention of Cognitive Behavioral Therapy for Insomnia (CBT-I) as a promising intervention for sleep-related Alzheimer's disease therapy.
B: NOT SUPPORTED  
There is no direct mention of Suvorexant in the provided excerpts as a promising intervention for sleep-related Alzheimer's disease therapy.
C: NOT SUPPORTED  
The papers do not discuss Continuous Positive Airway Pressure (CPAP) as a promising intervention for sleep-related Alzheimer's disease therapy.
D: NOT SUPPORTED  
There is no direct evidence or mention of Ketamine in the context of sleep-related Alzheimer's disease therapy in the reviewed papers.
ANSWER: None supported.</t>
  </si>
  <si>
    <t>A: SUPPORTED (The review discusses tau-PET imaging as a method to detect tauopathy, which is largely specific for Alzheimer's disease and correlates with cognitive performance, indicating its use in diagnosis — "Alzheimer disease, 2021".)
B: SUPPORTED (MRI is mentioned as a necessary initial evaluation tool for cognitive impairment, allowing assessment of macroscopic brain atrophy, which is associated with Alzheimer's disease — "Alzheimer disease, 2021".)
C: NOT SUPPORTED (CT is mentioned as an imaging modality used in the past, but it has been largely superseded by MRI for research purposes and lacks specificity for Alzheimer's disease — "Alzheimer disease, 2021".)
D: SUPPORTED (FDG-PET is highlighted for detecting reduced glucose metabolism in specific brain regions, which is characteristic of Alzheimer's disease and correlates with cognitive impairment — "Alzheimer disease, 2021".)
ANSWER: ABD</t>
  </si>
  <si>
    <t>A: NOT SUPPORTED  
The papers do not provide clear evidence that CSF biomarkers are used to stage disease progression in Alzheimer's disease (AD). While they discuss the role of biomarkers in diagnosing and understanding the disease, they do not specifically mention staging progression.
B: SUPPORTED  
CSF biomarkers are mentioned as useful in diagnosing mild cognitive impairment (MCI). The review states that both CSF p-tau181 and t-tau are typically increased in MCI and dementia due to AD (Alzheimer disease, 2021).
C: SUPPORTED  
CSF biomarkers, particularly p-tau181, are recognized as specific indicators of tau pathology in AD. The review highlights that p-tau181 is considered a specific biomarker for tau pathology (Alzheimer disease, 2021).
D: NOT SUPPORTED  
The papers do not indicate that CSF biomarkers can replace neuropsychological testing. They discuss the role of biomarkers in conjunction with clinical assessments but do not suggest that they can serve as a substitute for neuropsychological evaluations.
ANSWER: B, C</t>
  </si>
  <si>
    <t>cosine retrieval + evidence quality + temporal recency</t>
  </si>
  <si>
    <t>2023-oxidative-damage-in-neurodegeneration-roles-in-the-pathogenesis-and-progression-of-alzheimer-disease.pdf | 2024 Advancements and Challenges in Antiamyloid Therapy for.pdf | 2024 Cell type-specific roles of APOE4 in Alzheimer disease.pdf | 2024 Neuroinflammation in Alzheimer disease.pdf | alzheimer disease  2021.pdf</t>
  </si>
  <si>
    <t>A: SUPPORTED (The A-T-N framework includes amyloid beta as a key component, specifically mentioned in the context of biomarkers for Alzheimer's disease in the paper "Alzheimer disease" 2021.)
B: SUPPORTED (Tau is explicitly identified as a component of the A-T-N framework, with references to phosphorylated tau (p-tau) as a specific biomarker for tau pathology in the same paper "Alzheimer disease" 2021.)
C: SUPPORTED (Neurodegeneration markers are included in the A-T-N framework, as indicated in the paper "Alzheimer disease" 2021, which discusses neurodegeneration biomarkers as part of the diagnostic criteria for Alzheimer's disease.)
D: NOT SUPPORTED (The papers do not specifically mention synaptic vesicle proteins as part of the A-T-N framework for Alzheimer's disease biomarkers.)
ANSWER: ABC</t>
  </si>
  <si>
    <t>A: NOT SUPPORTED  
B: NOT SUPPORTED  
C: NOT SUPPORTED  
D: NOT SUPPORTED  
ANSWER: [none]  
None of the options (A, B, C, D) were specifically discussed or supported in the provided excerpts regarding sleep-related interventions for Alzheimer's disease therapy. The papers primarily focused on other aspects of Alzheimer's disease, such as amyloid therapies, tau immunotherapies, and cognitive interventions, without mentioning the specific interventions listed in the question.</t>
  </si>
  <si>
    <t>2023-oxidative-damage-in-neurodegeneration-roles-in-the-pathogenesis-and-progression-of-alzheimer-disease.pdf | 2024 Advancements and Challenges in Antiamyloid Therapy for.pdf | 2024 Cell type-specific roles of APOE4 in Alzheimer disease.pdf | 2024 Immune Activation in Alzheimer Disease.pdf | 2024 Linking activity dyshomeostasis and sleep disturbances in Alzheimer disease.pdf | 2024 Neuroinflammation in Alzheimer disease.pdf | 2025 Oligodendrocytes in Alzheimer’s disease pathophysiology.pdf | 2025 Updates on mouse models of Alzheimer’s disease.pdf | alzheimer disease  2021.pdf</t>
  </si>
  <si>
    <t>A: NOT SUPPORTED  
The papers reviewed do not provide direct evidence linking hearing loss in older adults to decreased brain volume. While there is a discussion of brain atrophy in Alzheimer's disease, it does not specifically address hearing loss as a contributing factor.
B: NOT SUPPORTED  
There is no direct evidence in the reviewed papers that connects hearing loss in older adults to higher tau levels. The discussions around tau primarily focus on its relationship with Alzheimer's disease and neurodegeneration, without mentioning auditory dysfunction.
C: SUPPORTED  
The papers indicate that cognitive decline and neurodegeneration can lead to lower social engagement. Although not explicitly stating that hearing loss causes lower social engagement, the implications of cognitive decline and its effects on social interactions are discussed, suggesting a connection. For example, the review on neuroinflammation in Alzheimer disease mentions cognitive impairments leading to social withdrawal (Neuroinflammation in Alzheimer disease, 2024).
D: NOT SUPPORTED  
There is no evidence in the reviewed papers that supports the idea that hearing loss in older adults leads to enhanced neurogenesis. The discussions focus on neurodegeneration and cognitive decline rather than neurogenesis in the context of hearing impairment.
ANSWER: C</t>
  </si>
  <si>
    <t>A: NOT SUPPORTED  
The papers do not provide direct evidence linking hypoxia to Alzheimer's disease (AD). 
B: SUPPORTED  
The review on neuroinflammation discusses the gut microbiome's role in modulating cognitive parameters and its connection to AD, indicating that gut microbiota imbalance may influence AD pathology (Neuroinflammation in Alzheimer disease, 2024).
C: NOT SUPPORTED  
There is no direct evidence in the papers linking high education levels to AD.
D: SUPPORTED  
The review on oxidative damage highlights that specific dietary patterns, particularly a well-balanced diet, are linked to AD risk and can influence clinical outcomes (Oxidative damage in neurodegeneration: roles in the pathogenesis and progression of Alzheimer disease, 2023).
ANSWER: BD</t>
  </si>
  <si>
    <t>2023-oxidative-damage-in-neurodegeneration-roles-in-the-pathogenesis-and-progression-of-alzheimer-disease.pdf | 2024 Advancements and Challenges in Antiamyloid Therapy for.pdf | 2024 Immune Activation in Alzheimer Disease.pdf | 2024 Neuroinflammation in Alzheimer disease.pdf | 2025 Updates on mouse models of Alzheimer’s disease.pdf | alzheimer disease  2021.pdf</t>
  </si>
  <si>
    <t>A: SUPPORTED (The review on Alzheimer disease (2021) discusses tau-PET imaging as a method to detect tauopathy, which is largely specific for AD and correlates with cognitive performance and disease progression.)
B: SUPPORTED (The review on Alzheimer disease (2021) states that MRI is often used as a first step to exclude other causes of cognitive impairment and assess macroscopic brain atrophy, which is relevant in diagnosing AD.)
C: SUPPORTED (The review on Alzheimer disease (2021) mentions that CT was one of the first imaging modalities used to evaluate patients with cognitive impairment, although it has been largely superseded by MRI for research purposes.)
D: SUPPORTED (The review on Alzheimer disease (2021) highlights FDG-PET as a useful imaging modality that reveals patterns of hypometabolism characteristic of AD and correlates with cognitive impairment severity.)
ANSWER: ABCD</t>
  </si>
  <si>
    <t>2023-oxidative-damage-in-neurodegeneration-roles-in-the-pathogenesis-and-progression-of-alzheimer-disease.pdf | 2024 Advancements and Challenges in Antiamyloid Therapy for.pdf | 2024 Immune Activation in Alzheimer Disease.pdf | 2024 Neuroinflammation in Alzheimer disease.pdf | alzheimer disease  2021.pdf</t>
  </si>
  <si>
    <t>A: NOT SUPPORTED  
The papers do not provide clear evidence that CSF biomarkers are used to stage disease progression in Alzheimer's disease (AD). While they discuss the role of biomarkers in diagnosing and understanding AD, they do not specifically mention staging disease progression.
B: NOT SUPPORTED  
There is no direct evidence in the papers indicating that CSF biomarkers are used specifically to diagnose mild cognitive impairment (MCI). The focus is more on their role in diagnosing AD rather than MCI directly.
C: SUPPORTED  
CSF biomarkers, particularly phosphorylated tau (p-tau181), are recognized as specific indicators of tau pathology in AD. The papers state that p-tau181 is considered a specific biomarker for tau pathology and is markedly increased in AD (Alzheimer disease, 2021).
D: NOT SUPPORTED  
The papers do not support the idea that CSF biomarkers can replace neuropsychological testing. They discuss the importance of clinical diagnosis and the role of biomarkers in conjunction with clinical assessments, but do not suggest that biomarkers can replace neuropsychological testing.
ANSWER: C</t>
  </si>
  <si>
    <t>A: NOT SUPPORTED  
The papers do not provide direct evidence that gut microbiota promotes inflammation in AD animal models. While they discuss the role of microbiota in modulating neuroinflammation, they do not explicitly state that it promotes inflammation.
B: SUPPORTED  
The evidence indicates that therapy with probiotics (Bifidobacterium and Lactobacillus species) after antibiotic administration improves memory deficits in mouse models of AD (Neuroinflammation in Alzheimer disease, 2024).
C: NOT SUPPORTED  
The papers do not provide direct evidence that gut microbiota impairs spatial learning in AD animal models. They discuss cognitive deficits but do not specifically link these to the effects of gut microbiota.
D: NOT SUPPORTED  
The papers do not provide direct evidence that gut microbiota reduces tau levels in AD animal models. They discuss tau pathology but do not specifically mention the impact of gut microbiota on tau levels.
ANSWER: B</t>
  </si>
  <si>
    <t>A: NOT SUPPORTED  
The papers do not provide direct evidence regarding reduced REM duration as a characteristic associated with Alzheimer's disease (AD).
B: SUPPORTED  
There is evidence indicating abnormal slow-wave oscillations in AD. The review "Linking activity dyshomeostasis and sleep disturbances in Alzheimer disease" (2024) discusses reduced sharp-wave ripples during NREM sleep in familial Alzheimer disease mouse models, which implies abnormal slow-wave activity.
C: NOT SUPPORTED  
The papers do not provide direct evidence regarding increased CSF tau during wakefulness as a characteristic associated with AD.
D: NOT SUPPORTED  
The papers do not provide direct evidence regarding stable sleep architecture in relation to AD.
ANSWER: B</t>
  </si>
  <si>
    <t>2023-oxidative-damage-in-neurodegeneration-roles-in-the-pathogenesis-and-progression-of-alzheimer-disease.pdf | 2024 Advancements and Challenges in Antiamyloid Therapy for.pdf | 2024 Linking activity dyshomeostasis and sleep disturbances in Alzheimer disease.pdf | 2025 Updates on mouse models of Alzheimer’s disease.pdf | alzheimer disease  2021.pdf</t>
  </si>
  <si>
    <t>A: NOT SUPPORTED  
The papers do not provide any evidence regarding the use of melatonin for improving cognition in MCI or early dementia.
B: SUPPORTED  
Rivastigmine is mentioned as one of the cholinesterase inhibitors approved for mild to moderate Alzheimer's disease, which suggests it may have a role in improving cognition in these populations (Alzheimer disease, 2021).
C: NOT SUPPORTED  
The papers do not provide any evidence regarding the use of suvorexant for improving cognition in MCI or early dementia.
D: NOT SUPPORTED  
The papers do not provide any evidence regarding the ketogenic diet for improving cognition in MCI or early dementia.
ANSWER: B</t>
  </si>
  <si>
    <t>A: SUPPORTED (The A-T-N framework includes amyloid beta as a key component, specifically mentioned as "Aβ" in the context of biomarkers for Alzheimer's disease in the paper "Alzheimer disease" 2021.)
B: SUPPORTED (Tau is explicitly identified as a component of the A-T-N framework, referred to as "tau" and "p-tau" in the same paper "Alzheimer disease" 2021.)
C: SUPPORTED (Neurodegeneration markers are included in the A-T-N framework, as indicated by the "N" in the A-T-N classification, which encompasses neurodegeneration biomarkers in the paper "Alzheimer disease" 2021.)
D: NOT SUPPORTED (Synaptic vesicle proteins are not mentioned as part of the A-T-N framework in the reviewed papers. The focus is on amyloid, tau, and neurodegeneration markers, with no direct reference to synaptic vesicle proteins.)
ANSWER: ABC</t>
  </si>
  <si>
    <t>A: NOT SUPPORTED  
The papers do not specifically mention sleep apnea as a contributing factor to AD progression.
B: NOT SUPPORTED  
There is no direct evidence in the papers indicating that long sleep duration contributes to AD progression.
C: SUPPORTED  
The review "Linking activity dyshomeostasis and sleep disturbances in Alzheimer disease" (2024) discusses how sleep characteristics change with aging and how individuals with AD exhibit impairments in sleep patterns, which may include decreased nocturnal sleep time, suggesting that short sleep duration could be a factor in AD progression.
D: NOT SUPPORTED  
The papers do not specifically mention insomnia as a contributing factor to AD progression.
ANSWER: C</t>
  </si>
  <si>
    <t>A: NOT SUPPORTED  
B: NOT SUPPORTED  
C: NOT SUPPORTED  
D: NOT SUPPORTED  
ANSWER: None  
The reviewed papers did not provide any clear, direct evidence supporting the use of CBT-I, suvorexant, CPAP, or ketamine as interventions for sleep-related therapy in Alzheimer's disease. The focus of the excerpts was primarily on the relationship between sleep disturbances and Alzheimer's disease, as well as various therapeutic approaches for Alzheimer's, but did not specifically address these interventions.</t>
  </si>
  <si>
    <t>A: NOT SUPPORTED  
The papers reviewed do not provide direct evidence linking hearing loss in older adults to decreased brain volume. While there is a discussion of brain atrophy in Alzheimer's disease, it does not specifically address hearing loss as a contributing factor.
B: NOT SUPPORTED  
There is no direct evidence in the reviewed papers that connects hearing loss in older adults to higher tau levels. The discussions around tau primarily focus on its relationship with Alzheimer's disease and neurodegeneration, without mentioning auditory dysfunction.
C: SUPPORTED  
Hearing loss is associated with lower social engagement in older adults. The review on neuroinflammation in Alzheimer disease discusses how lifestyle factors, including social engagement, can influence cognitive health, implying that sensory impairments like hearing loss could lead to reduced social interactions.
D: NOT SUPPORTED  
The reviewed papers do not provide evidence that hearing loss in older adults leads to enhanced neurogenesis. The focus is primarily on neurodegeneration and cognitive decline rather than neurogenesis in the context of hearing impairment.
ANSWER: C</t>
  </si>
  <si>
    <t>A: NOT SUPPORTED  
The papers do not provide direct evidence linking hypoxia to Alzheimer's disease (AD). 
B: SUPPORTED  
The review on neuroinflammation discusses the gut microbiome's role in modulating cognitive parameters and its connection to AD, indicating that an imbalance in gut microbiota can influence AD pathology (Neuroinflammation in Alzheimer disease, 2024).
C: NOT SUPPORTED  
There is no direct evidence in the papers linking high education levels to AD. 
D: SUPPORTED  
The review on oxidative damage highlights that specific dietary patterns, particularly a well-balanced diet, are linked to AD risk and can influence clinical outcomes (Oxidative damage in neurodegeneration: roles in the pathogenesis and progression of Alzheimer disease, 2023).
ANSWER: BD</t>
  </si>
  <si>
    <t>A: SUPPORTED (The review on Alzheimer disease (2021) discusses tau-PET imaging as a method to detect tauopathy, which is largely specific for AD and correlates with cognitive performance and disease progression.)
B: SUPPORTED (The review on Alzheimer disease (2021) states that MRI is often used as a first step to exclude other causes of cognitive impairment and assess macroscopic brain atrophy, which is relevant in diagnosing AD.)
C: SUPPORTED (The review on Alzheimer disease (2021) mentions that CT was one of the first imaging modalities used to evaluate patients with cognitive impairment, although it has been largely superseded by MRI for research purposes.)
D: SUPPORTED (The review on Alzheimer disease (2021) highlights FDG-PET as a useful imaging modality that reveals patterns of hypometabolism characteristic of AD and correlates with cognitive impairment.)
ANSWER: ABCD</t>
  </si>
  <si>
    <t>A: NOT SUPPORTED  
The papers do not provide clear evidence that CSF biomarkers are used to stage disease progression in Alzheimer's disease (AD). While they discuss the role of biomarkers in diagnosing AD and their correlation with cognitive decline, they do not explicitly state that they are used to stage disease progression.
B: NOT SUPPORTED  
The papers do not specifically mention that CSF biomarkers are used to diagnose mild cognitive impairment (MCI). They discuss the relationship between biomarkers and cognitive decline but do not provide direct evidence that CSF biomarkers are diagnostic for MCI.
C: SUPPORTED  
CSF biomarkers, particularly phosphorylated tau (p-tau181), are indicated as specific biomarkers for tau pathology in AD. The review states that p-tau181 is recognized for its diagnostic utility in identifying tau pathology associated with AD (Alzheimer disease, 2021).
D: NOT SUPPORTED  
The papers do not suggest that CSF biomarkers can replace neuropsychological testing. They emphasize the importance of clinical diagnosis and the role of biomarkers as adjuncts rather than replacements for neuropsychological assessments.
ANSWER: C</t>
  </si>
  <si>
    <t>A: NOT SUPPORTED  
The papers do not provide clear evidence that gut microbiota promotes inflammation in AD animal models. While they discuss the role of microbiota in modulating neuroinflammation, they do not explicitly state that it promotes inflammation.
B: SUPPORTED  
The evidence indicates that therapy with probiotics (Bifidobacterium and Lactobacillus species) after antibiotic administration improves memory deficits in mouse models of AD (Neuroinflammation in Alzheimer disease, 2024).
C: NOT SUPPORTED  
There is no direct evidence in the papers indicating that gut microbiota impairs spatial learning in AD animal models. The focus is more on memory improvement rather than impairment.
D: NOT SUPPORTED  
The papers do not provide direct evidence that gut microbiota reduces tau levels in AD animal models. They discuss various aspects of tau pathology but do not link it directly to gut microbiota effects.
ANSWER: B</t>
  </si>
  <si>
    <t>A: NOT SUPPORTED  
The papers do not provide direct evidence regarding reduced REM duration as a characteristic associated with Alzheimer's disease (AD).
B: SUPPORTED  
There is evidence indicating abnormal slow-wave oscillations in AD. The review "Linking activity dyshomeostasis and sleep disturbances in Alzheimer disease" (2024) discusses how neurons in mouse models of familial AD show altered firing rates and reduced sharp-wave ripples during sleep, which are indicative of abnormal slow-wave activity.
C: NOT SUPPORTED  
The papers do not provide direct evidence regarding increased CSF tau during wakefulness as a characteristic associated with AD.
D: NOT SUPPORTED  
The papers do not provide direct evidence supporting stable sleep architecture in relation to AD.
ANSWER: B</t>
  </si>
  <si>
    <t>A: SUPPORTED (The A-T-N framework includes amyloid beta as a key component, specifically mentioned as "Aβ" in the context of biomarkers for Alzheimer's disease in the paper "Alzheimer disease" 2021.)
B: SUPPORTED (Tau is explicitly identified as a component of the A-T-N framework, referred to as "tau" and "p-tau" in the same paper "Alzheimer disease" 2021.)
C: SUPPORTED (Neurodegeneration markers are included in the A-T-N framework, as indicated by the "N" in the A-T-N classification, which refers to neurodegeneration in the paper "Alzheimer disease" 2021.)
D: NOT SUPPORTED (Synaptic vesicle proteins are not mentioned as part of the A-T-N framework in the reviewed papers; the focus is on amyloid, tau, and neurodegeneration markers.)
ANSWER: ABC</t>
  </si>
  <si>
    <t>A: NOT SUPPORTED  
The papers do not specifically mention sleep apnea as a contributing factor to AD progression.
B: NOT SUPPORTED  
There is no direct evidence in the papers indicating that long sleep duration contributes to AD progression.
C: SUPPORTED  
The review "Linking activity dyshomeostasis and sleep disturbances in Alzheimer disease" (2024) discusses how sleep characteristics change with aging and how these changes, including decreased nocturnal sleep time, may be part of AD pathogenesis.
D: NOT SUPPORTED  
The papers do not specifically mention insomnia as a contributing factor to AD progression.
ANSWER: C</t>
  </si>
  <si>
    <t>A: NOT SUPPORTED  
B: NOT SUPPORTED  
C: NOT SUPPORTED  
D: NOT SUPPORTED  
ANSWER:</t>
  </si>
  <si>
    <t>A: NOT SUPPORTED  
The papers reviewed do not provide direct evidence linking hearing loss in older adults to decreased brain volume. While there is a discussion of brain atrophy in Alzheimer's disease, it does not specifically address hearing loss as a contributing factor.
B: NOT SUPPORTED  
There is no direct evidence in the reviewed papers that connects hearing loss in older adults to higher tau levels. The discussions around tau primarily focus on its relationship with Alzheimer's disease and neurodegeneration, without mentioning auditory dysfunction.
C: SUPPORTED  
Hearing loss is associated with lower social engagement in older adults. The review on neuroinflammation in Alzheimer disease discusses how lifestyle factors, including social engagement, can influence dementia risk, implying that reduced social interaction may be a consequence of hearing impairment.
D: NOT SUPPORTED  
The reviewed papers do not provide evidence that hearing loss in older adults leads to enhanced neurogenesis. The focus is primarily on neurodegeneration and the pathological processes associated with Alzheimer's disease.
ANSWER: C</t>
  </si>
  <si>
    <t>A: SUPPORTED (The use of Tau-PET imaging is discussed as a method for detecting tauopathy, which is largely specific for Alzheimer's disease and correlates with cognitive performance and disease progression. This is supported by evidence from the "Alzheimer disease" review, 2021.)
B: SUPPORTED (MRI is mentioned as a necessary initial evaluation tool for cognitive impairment, allowing assessment of macroscopic brain atrophy, which is associated with Alzheimer's disease. This is supported by evidence from the "Alzheimer disease" review, 2021.)
C: SUPPORTED (CT is noted as one of the first imaging modalities used to evaluate cognitive impairment, although it has been largely superseded by MRI for research purposes. This is supported by evidence from the "Alzheimer disease" review, 2021.)
D: SUPPORTED (FDG-PET is highlighted for revealing patterns of hypometabolism that are characteristic of Alzheimer's disease and correlating with cognitive impairment severity. This is supported by evidence from the "Alzheimer disease" review, 2021.)
ANSWER: ABCD</t>
  </si>
  <si>
    <t>A: NOT SUPPORTED  
The papers do not provide clear evidence that CSF biomarkers are used to stage disease progression in Alzheimer's disease (AD). While they discuss the role of biomarkers in diagnosing and identifying AD, they do not specifically mention staging disease progression.
B: NOT SUPPORTED  
The papers do not explicitly state that CSF biomarkers are used to diagnose mild cognitive impairment (MCI). They mention that biomarkers can indicate the presence of AD pathology but do not confirm their role in diagnosing MCI specifically.
C: SUPPORTED  
CSF biomarkers, particularly phosphorylated tau (p-tau181), are recognized as specific indicators of tau pathology in AD. The review states that p-tau181 is considered a specific biomarker for tau pathology and is markedly increased in AD (Alzheimer disease, 2021).
D: NOT SUPPORTED  
The papers do not indicate that CSF biomarkers can replace neuropsychological testing. They discuss the importance of clinical diagnosis and the role of biomarkers in conjunction with clinical assessments but do not suggest that biomarkers can replace neuropsychological evaluations.
ANSWER: C</t>
  </si>
  <si>
    <t>A: SUPPORTED (The A-T-N framework includes amyloid beta as a key component, specifically mentioned in the context of biomarkers for Alzheimer's disease in the paper "Alzheimer disease" 2021.)
B: SUPPORTED (Tau is explicitly identified as a component of the A-T-N framework, with references to phosphorylated tau (p-tau) as a specific biomarker for tau pathology in the same paper "Alzheimer disease" 2021.)
C: SUPPORTED (Neurodegeneration markers are included in the A-T-N framework, as indicated in the paper "Alzheimer disease" 2021, which discusses the role of neurodegeneration biomarkers in the context of Alzheimer's disease.)
D: NOT SUPPORTED (Synaptic vesicle proteins are not mentioned as part of the A-T-N framework in the reviewed papers, and there is no direct evidence linking them to the A-T-N biomarker classification.)
ANSWER: ABC</t>
  </si>
  <si>
    <t>A: NOT SUPPORTED  
B: NOT SUPPORTED  
C: NOT SUPPORTED  
D: NOT SUPPORTED  
ANSWER: [none]  
None of the options (A, B, C, D) were specifically discussed or supported in the provided excerpts regarding sleep-related interventions for Alzheimer's disease therapy. The papers primarily focused on other aspects of Alzheimer's disease, such as amyloid therapies, tau immunotherapies, and dietary interventions, without mentioning the specific sleep-related therapies listed in the options.</t>
  </si>
  <si>
    <t>A: NOT SUPPORTED  
The papers reviewed do not provide direct evidence linking hearing loss in older adults to decreased brain volume. While there is discussion about brain atrophy in Alzheimer's disease, it does not specifically address hearing loss as a contributing factor.
B: NOT SUPPORTED  
There is no direct evidence in the reviewed papers that connects hearing loss in older adults to higher tau levels. The discussions around tau primarily focus on its relationship with Alzheimer's disease and neurodegeneration, without mentioning auditory dysfunction.
C: SUPPORTED  
Lower social engagement is discussed in the context of cognitive decline and neuropsychiatric symptoms associated with Alzheimer's disease. The review on Alzheimer disease (2021) mentions that neuropsychiatric symptoms, including social withdrawal, may be evident in mild dementia, which can be related to cognitive impairments that may arise from hearing loss.
D: NOT SUPPORTED  
The papers do not provide any evidence that hearing loss in older adults leads to enhanced neurogenesis. The focus is primarily on neurodegeneration and cognitive decline rather than neurogenesis in the context of hearing impairment.
ANSWER: C</t>
  </si>
  <si>
    <t>A: SUPPORTED (The use of Tau-PET imaging is specifically mentioned as a method for detecting tauopathy, which is largely specific for Alzheimer's disease, and its binding topography correlates with cognitive performance, indicating its role in diagnosis — Alzheimer disease, 2021.)
B: SUPPORTED (MRI is noted as a necessary initial evaluation tool for cognitive impairment, allowing assessment of macroscopic brain atrophy, which is associated with Alzheimer's disease — Alzheimer disease, 2021.)
C: SUPPORTED (CT is mentioned as one of the first imaging modalities used to evaluate patients with cognitive impairment, although it has been largely superseded by MRI for research purposes — Alzheimer disease, 2021.)
D: SUPPORTED (FDG-PET is highlighted for revealing patterns of hypometabolism that are characteristic of Alzheimer's disease and correlating with cognitive impairment severity, supporting its use in diagnosis — Alzheimer disease, 2021.)
ANSWER: ABCD</t>
  </si>
  <si>
    <t>A: NOT SUPPORTED  
The papers do not provide clear evidence that CSF biomarkers are used to stage disease progression in Alzheimer's disease (AD). While they discuss the role of biomarkers in diagnosing and identifying AD, they do not specifically mention staging disease progression.
B: NOT SUPPORTED  
The papers do not explicitly state that CSF biomarkers are used to diagnose mild cognitive impairment (MCI). They mention the relationship between biomarkers and cognitive decline but do not confirm that CSF biomarkers are diagnostic for MCI.
C: SUPPORTED  
CSF biomarkers, specifically phosphorylated tau (p-tau181), are recognized as indicators of tau pathology in AD. The review states that p-tau181 is considered a specific biomarker for tau pathology and is markedly increased in AD (Alzheimer disease, 2021).
D: NOT SUPPORTED  
The papers do not indicate that CSF biomarkers can replace neuropsychological testing. They discuss the role of biomarkers in conjunction with clinical evaluations but do not suggest that they can substitute for neuropsychological assessments.
ANSWER: C</t>
  </si>
  <si>
    <t>A: NOT SUPPORTED  
The papers do not provide direct evidence that gut microbiota promotes inflammation in AD animal models. While they discuss the role of microbiota in modulating neuroinflammation, they do not explicitly state that gut microbiota promotes inflammation.
B: SUPPORTED  
The evidence indicates that therapy with probiotics (Bifidobacterium and Lactobacillus species) after antibiotic administration improves memory deficits in mouse models of AD (Neuroinflammation in Alzheimer disease, 2024).
C: NOT SUPPORTED  
The papers do not provide direct evidence that gut microbiota impairs spatial learning in AD animal models. They discuss cognitive deficits but do not specifically link these to the effects of gut microbiota.
D: NOT SUPPORTED  
There is no direct evidence in the papers that gut microbiota reduces tau levels in AD animal models. The focus is more on the effects of microbiota on inflammation and memory rather than on tau pathology.
ANSWER: B</t>
  </si>
  <si>
    <t>A: SUPPORTED (The A-T-N framework includes amyloid beta as a key biomarker, specifically mentioned in the context of Aβ abnormalities in the Alzheimer's disease biomarker framework, as discussed in "Alzheimer disease" 2021.)
B: SUPPORTED (Tau is explicitly identified as a component of the A-T-N framework, with references to phosphorylated tau (p-tau) as a specific biomarker for tau pathology in "Alzheimer disease" 2021.)
C: SUPPORTED (Neurodegeneration markers are included in the A-T-N framework, with references to neurodegeneration biomarkers being part of the diagnostic and prognostic framework for Alzheimer's disease in "Alzheimer disease" 2021.)
D: NOT SUPPORTED (Synaptic vesicle proteins are not mentioned as part of the A-T-N framework in the provided papers; the focus is on amyloid, tau, and neurodegeneration markers.)
ANSWER: ABC</t>
  </si>
  <si>
    <t>A: NOT SUPPORTED  
B: NOT SUPPORTED  
C: NOT SUPPORTED  
D: NOT SUPPORTED  
ANSWER: [none]  
The reviewed papers did not provide clear, direct evidence supporting any of the listed interventions (CBT-I, suvorexant, CPAP, or ketamine) as promising for sleep-related therapy in Alzheimer's disease. The focus of the excerpts was primarily on the relationship between sleep disturbances and Alzheimer's disease, as well as various therapeutic approaches for Alzheimer's, but did not specifically address these interventions.</t>
  </si>
  <si>
    <t>A: NOT SUPPORTED  
The papers reviewed do not provide direct evidence linking hearing loss in older adults to decreased brain volume. While there is a discussion of brain atrophy in Alzheimer's disease, it does not specifically address hearing loss as a contributing factor.
B: NOT SUPPORTED  
There is no direct evidence in the reviewed papers that connects hearing loss in older adults to higher tau levels. The discussions around tau primarily focus on its relationship with Alzheimer's disease and neurodegeneration, without mentioning auditory dysfunction.
C: SUPPORTED  
Hearing loss is associated with lower social engagement in older adults. The review on neuroinflammation in Alzheimer disease discusses how lifestyle factors, including social engagement, can influence cognitive health, implying that reduced social interaction due to hearing loss could contribute to cognitive decline (Neuroinflammation in Alzheimer disease, 2024).
D: NOT SUPPORTED  
The reviewed papers do not provide evidence that hearing loss in older adults leads to enhanced neurogenesis. The focus is primarily on neurodegeneration and the effects of various factors on cognitive decline, without mentioning neurogenesis in the context of hearing loss.
ANSWER: C</t>
  </si>
  <si>
    <t>A: NOT SUPPORTED  
The papers do not provide direct evidence linking hypoxia to Alzheimer's disease (AD). 
B: SUPPORTED  
The review on neuroinflammation discusses the gut microbiome's role in AD, indicating that an imbalance in gut microbiota can affect cognitive parameters and is linked to AD pathology (Neuroinflammation in Alzheimer disease, 2024).
C: NOT SUPPORTED  
There is no direct evidence in the papers linking high education levels to AD.
D: SUPPORTED  
The review on oxidative damage in neurodegeneration highlights that specific dietary patterns, particularly a well-balanced diet, are linked to AD risk and can influence health outcomes (Oxidative damage in neurodegeneration: roles in the pathogenesis and progression of Alzheimer disease, 2023).
ANSWER: BD</t>
  </si>
  <si>
    <t>A: SUPPORTED (The review on Alzheimer disease (2021) discusses tau-PET imaging as a method to detect tauopathy, which is largely specific for AD and correlates with cognitive performance and disease progression.)
B: SUPPORTED (The review on Alzheimer disease (2021) states that MRI is often used as a first step to exclude other causes of cognitive impairment and assess macroscopic brain atrophy, which is relevant for diagnosing AD.)
C: SUPPORTED (The review on Alzheimer disease (2021) mentions that CT was one of the first imaging modalities used to evaluate patients with cognitive impairment, although it has been largely superseded by MRI for research purposes.)
D: SUPPORTED (The review on Alzheimer disease (2021) highlights FDG-PET as a useful imaging modality that reveals patterns of hypometabolism characteristic of AD and correlates with cognitive impairment severity.)
ANSWER: ABCD</t>
  </si>
  <si>
    <t>A: NOT SUPPORTED  
The papers do not provide clear evidence that CSF biomarkers are used to stage disease progression in Alzheimer's disease (AD). While they discuss the role of biomarkers in diagnosing and identifying AD, they do not specifically mention staging disease progression.
B: NOT SUPPORTED  
The papers do not explicitly state that CSF biomarkers are used to diagnose mild cognitive impairment (MCI). They mention that biomarkers can indicate the presence of AD pathology but do not confirm their role in diagnosing MCI specifically.
C: SUPPORTED  
CSF biomarkers, particularly phosphorylated tau (p-tau181), are recognized as specific indicators of tau pathology in AD. The review states that p-tau181 is considered a specific biomarker for tau pathology and is markedly increased in AD (Alzheimer disease, 2021).
D: NOT SUPPORTED  
The papers do not indicate that CSF biomarkers can replace neuropsychological testing. They discuss the importance of clinical diagnosis and the use of biomarkers as adjuncts to other diagnostic methods, but do not suggest that they can replace neuropsychological assessments.
ANSWER: C</t>
  </si>
  <si>
    <t>A: NOT SUPPORTED  
The papers do not provide direct evidence regarding reduced REM duration as a characteristic associated with Alzheimer's disease (AD).
B: SUPPORTED  
There is evidence indicating abnormal slow-wave oscillations in AD. The review "Linking activity dyshomeostasis and sleep disturbances in Alzheimer disease" (2024) discusses how neurons in mouse models of familial AD show altered firing rates and reduced sharp-wave ripples during sleep, which are indicative of abnormal slow-wave activity.
C: NOT SUPPORTED  
The papers do not provide direct evidence regarding increased CSF tau during wakefulness as a characteristic associated with AD.
D: NOT SUPPORTED  
The papers do not provide direct evidence regarding stable sleep architecture in relation to AD.
ANSWER: B</t>
  </si>
  <si>
    <t>cosine retrieval + evidence quality + temporal recency + hybrid paper context</t>
  </si>
  <si>
    <t>A: SUPPORTED (The A-T-N framework includes "A" for amyloid beta, which is specifically mentioned in the context of biomarkers for Alzheimer's disease in the paper "Alzheimer disease" (2021).)
B: SUPPORTED (The A-T-N framework includes "T" for tau, as indicated in the same paper "Alzheimer disease" (2021), which discusses tau as a key biomarker for Alzheimer's disease pathology.)
C: SUPPORTED (The A-T-N framework includes "N" for neurodegeneration markers, which is explicitly mentioned in the paper "Alzheimer disease" (2021) as part of the biomarkers used to classify individuals in the AD spectrum.)
D: NOT SUPPORTED (There is no mention of synaptic vesicle proteins as part of the A-T-N framework in the provided papers. The focus is on amyloid, tau, and neurodegeneration markers.)
ANSWER: ABC</t>
  </si>
  <si>
    <t>A: NOT SUPPORTED  
The high-relevance excerpts do not mention sleep apnea as a contributing factor to AD progression. The focus is on sleep disturbances in general, particularly the relationship between sleep characteristics and AD pathogenesis, but sleep apnea is not specifically discussed.
B: NOT SUPPORTED  
There is no mention of long sleep duration as a contributing factor to AD progression in the high-relevance excerpts. The excerpts discuss changes in sleep patterns with aging and in AD but do not specifically address long sleep duration.
C: SUPPORTED  
The high-relevance excerpts indicate that sleep characteristics, including decreased nocturnal sleep time and increased frequency of daytime naps, are associated with AD progression. This suggests that short sleep duration may contribute to the pathogenesis of AD (Linking activity dyshomeostasis and sleep disturbances in Alzheimer disease, 2024).
D: NOT SUPPORTED  
Insomnia is not specifically mentioned in the high-relevance excerpts as a contributing factor to AD progression. The excerpts focus on general sleep disturbances rather than insomnia specifically.
ANSWER: C</t>
  </si>
  <si>
    <t>A: NOT SUPPORTED  
- The high-relevance excerpts and abstracts do not mention Cognitive Behavioral Therapy for Insomnia (CBT-I) as a promising intervention for sleep-related Alzheimer's disease therapy.
B: NOT SUPPORTED  
- The high-relevance excerpts and abstracts do not mention Suvorexant as a promising intervention for sleep-related Alzheimer's disease therapy.
C: NOT SUPPORTED  
- The high-relevance excerpts and abstracts do not mention Continuous Positive Airway Pressure (CPAP) as a promising intervention for sleep-related Alzheimer's disease therapy.
D: NOT SUPPORTED  
- The high-relevance excerpts and abstracts do not mention Ketamine as a promising intervention for sleep-related Alzheimer's disease therapy.
ANSWER:</t>
  </si>
  <si>
    <t>A: NOT SUPPORTED  
The high-relevance excerpts do not provide direct evidence linking hearing loss in older adults to decreased brain volume. While there are discussions about brain volume in the context of Alzheimer's disease, hearing loss specifically is not addressed in relation to brain volume changes.
B: NOT SUPPORTED  
There is no direct evidence in the high-relevance excerpts linking hearing loss in older adults to higher tau levels. The excerpts discuss tau levels in the context of Alzheimer's disease but do not mention hearing loss as a contributing factor.
C: SUPPORTED  
The high-relevance excerpts indicate that lifestyle factors, including social engagement, can influence dementia risk and cognitive performance. Although not explicitly stating hearing loss, the implication is that factors leading to lower social engagement (like hearing loss) could contribute to cognitive decline (Neuroinflammation in Alzheimer disease, 2024).
D: NOT SUPPORTED  
The high-relevance excerpts do not provide any evidence that hearing loss in older adults leads to enhanced neurogenesis. The discussions focus on neurodegeneration and cognitive decline rather than neurogenesis in the context of hearing loss.
ANSWER: C</t>
  </si>
  <si>
    <t>D</t>
  </si>
  <si>
    <t>A: NOT SUPPORTED  
The high-relevance excerpts do not provide any direct evidence linking hypoxia to Alzheimer's disease (AD). The papers focus on oxidative stress, neuroinflammation, and other factors but do not mention hypoxia as a risk factor.
B: NOT SUPPORTED  
There is no direct evidence in the high-relevance excerpts linking gut microbiota imbalance to AD. While the microbiome's role in health is discussed, it does not specifically state that an imbalance is epidemiologically linked to AD.
C: NOT SUPPORTED  
The high-relevance excerpts do not provide direct evidence linking high education to AD. Although education is often discussed in the context of cognitive resilience, it is not explicitly stated as an epidemiological factor in the provided excerpts.
D: SUPPORTED  
The high-relevance excerpts indicate that specific dietary patterns, particularly a well-balanced diet, have been linked to AD risk. The Mediterranean diet is mentioned as a dietary pattern associated with better cognitive outcomes in individuals at risk of dementia (Oxidative damage in neurodegeneration: roles in the pathogenesis and progression of Alzheimer disease, 2023).
ANSWER: D</t>
  </si>
  <si>
    <t>A: SUPPORTED (Tau-PET imaging allows the detection of tauopathy that is largely specific for AD and is highly predictive of subsequent cognitive decline in both asymptomatic and symptomatic individuals. This is discussed in "Alzheimer disease," 2021.)
B: SUPPORTED (MRI is often used as a first step to exclude other causes of cognitive impairment and allows the assessment of macroscopic brain atrophy, which is associated with AD. This is mentioned in "Alzheimer disease," 2021.)
C: SUPPORTED (CT was one of the first imaging modalities used to evaluate patients with cognitive impairment, although it has been largely superseded by MRI for research purposes. This is noted in "Alzheimer disease," 2021.)
D: SUPPORTED (FDG-PET has revealed a pattern of hypometabolism that is highly characteristic of AD and correlates with the overall severity of cognitive impairment. This is detailed in "Alzheimer disease," 2021.)
ANSWER: ABCD</t>
  </si>
  <si>
    <t>A: NOT SUPPORTED  
The high-relevance excerpts do not provide evidence that CSF biomarkers are used to stage disease progression in Alzheimer's disease (AD). They focus more on diagnostic utility rather than staging.
B: SUPPORTED  
CSF biomarkers, particularly Aβ42 and phosphorylated tau (p-tau181), are mentioned as being used clinically for diagnosing Alzheimer's disease and are recognized for their diagnostic utility in individuals with mild cognitive impairment (MCI) (Alzheimer disease, 2021).
C: SUPPORTED  
The excerpts indicate that p-tau181 is considered a specific biomarker for tau pathology, which is relevant for diagnosing Alzheimer's disease (Alzheimer disease, 2021). 
D: NOT SUPPORTED  
There is no evidence in the excerpts that CSF biomarkers are intended to replace neuropsychological testing. The excerpts emphasize the role of biomarkers in conjunction with clinical evaluations rather than as a replacement for neuropsychological assessments.
ANSWER: B, C</t>
  </si>
  <si>
    <t>A: NOT SUPPORTED  
The high-relevance excerpts do not provide direct evidence that gut microbiota promotes inflammation in AD animal models. While there is mention of microbiome-originated LPS and SCFAs potentially impairing the blood-brain barrier (BBB) and affecting microglial activation, there is no clear statement that gut microbiota promotes inflammation.
B: SUPPORTED  
The evidence indicates that therapy with Bifidobacterium and Lactobacillus species-based probiotics after antibiotic administration improves BBB integrity and memory deficits in mouse models of AD (Neuroinflammation in Alzheimer disease, 2024). This suggests that gut microbiota can improve memory in AD animal models.
C: NOT SUPPORTED  
The excerpts do not provide direct evidence that gut microbiota impairs spatial learning in AD animal models. There is no mention of negative effects on spatial learning associated with gut microbiota.
D: NOT SUPPORTED  
The high-relevance excerpts do not provide direct evidence that gut microbiota reduces tau levels in AD animal models. There is no specific discussion regarding the impact of gut microbiota on tau levels.
ANSWER: B</t>
  </si>
  <si>
    <t>A: NOT SUPPORTED  
The high-relevance excerpts do not provide evidence for reduced REM duration being associated with Alzheimer's disease (AD). The focus is on neuronal activity during sleep and its relationship with hyperexcitability and sleep disturbances, but REM sleep characteristics are not specifically mentioned.
B: SUPPORTED  
The review "Linking activity dyshomeostasis and sleep disturbances in Alzheimer disease" (2024) discusses the vulnerability of neural circuits in early stages of AD to hyperexcitability during low-arousal states, such as sleep. This implies that abnormal slow-wave oscillations may be a characteristic associated with AD, as the paper highlights the relationship between impaired activity homeostasis during sleep and hyperexcitability.
C: NOT SUPPORTED  
The high-relevance excerpts do not mention increased CSF tau during wakefulness as being associated with AD. The focus is on the relationship between sleep disturbances and neuronal activity, but there is no direct evidence linking CSF tau levels to sleep characteristics in the context of AD.
D: NOT SUPPORTED  
The excerpts do not provide evidence for stable sleep architecture being associated with AD. The discussion centers around the dysregulation of neuronal firing and sleep disturbances rather than stable sleep patterns.
ANSWER: B</t>
  </si>
  <si>
    <t>NOT_COVERED</t>
  </si>
  <si>
    <t>A: NOT SUPPORTED  
The high-relevance excerpts do not provide any evidence supporting the use of melatonin for improving cognition in MCI or early dementia. The topic is not covered in the provided papers.
B: SUPPORTED  
Rivastigmine is mentioned as a treatment option in the context of Alzheimer's disease (AD) and is one of the cholinesterase inhibitors approved for use in mild to moderate AD. The paper "Alzheimer disease" (2021) discusses pharmacological approaches specific to AD, including rivastigmine, which is known to improve cognitive function in patients with dementia.
C: NOT SUPPORTED  
The high-relevance excerpts do not provide any evidence supporting the use of suvorexant for improving cognition in MCI or early dementia. The topic is not covered in the provided papers.
D: NOT SUPPORTED  
The high-relevance excerpts do not provide any evidence supporting the ketogenic diet for improving cognition in MCI or early dementia. The topic is not covered in the provided papers.
ANSWER: B</t>
  </si>
  <si>
    <t>A: SUPPORTED (The A-T-N framework includes amyloid beta as a key component, specifically mentioned in the context of biomarkers for Alzheimer's disease in "Alzheimer disease," 2021.)
B: SUPPORTED (Tau is explicitly identified as a component of the A-T-N framework, with references to phosphorylated tau (p-tau) as a specific biomarker for tau pathology in "Alzheimer disease," 2021.)
C: SUPPORTED (Neurodegeneration markers are included in the A-T-N framework, as indicated in the discussion of biomarkers for neurodegeneration in "Alzheimer disease," 2021.)
D: NOT SUPPORTED (There is no mention of synaptic vesicle proteins as part of the A-T-N framework in the provided excerpts; the focus is on amyloid, tau, and neurodegeneration markers.)
ANSWER: ABC</t>
  </si>
  <si>
    <t>A: NOT SUPPORTED  
The high-relevance excerpts do not mention sleep apnea as a contributing factor to AD progression. The focus is on sleep disturbances in general, particularly the relationship between sleep characteristics and AD pathogenesis, but specific conditions like sleep apnea are not discussed.
B: NOT SUPPORTED  
There is no mention of long sleep duration in the context of AD progression in the high-relevance excerpts. The excerpts discuss changes in sleep patterns with aging and AD but do not specifically address long sleep duration as a factor.
C: SUPPORTED  
The high-relevance excerpts indicate that sleep characteristics, including decreased nocturnal sleep time and increased frequency of daytime naps, are associated with AD progression. This suggests that short sleep duration may contribute to the pathogenesis of AD (Linking activity dyshomeostasis and sleep disturbances in Alzheimer disease, 2024).
D: NOT SUPPORTED  
Insomnia is not specifically mentioned in the high-relevance excerpts as a contributing factor to AD progression. The excerpts focus on general sleep disturbances rather than insomnia as a distinct condition.
ANSWER: C</t>
  </si>
  <si>
    <t>A: NOT SUPPORTED  
The high-relevance excerpts do not provide direct evidence linking hearing loss in older adults to decreased brain volume. While there are discussions about brain volume in the context of Alzheimer's disease, hearing loss is not specifically addressed in relation to brain volume changes.
B: NOT SUPPORTED  
There is no direct evidence in the high-relevance excerpts linking hearing loss in older adults to higher tau levels. The excerpts discuss tau pathology in the context of Alzheimer's disease but do not mention hearing loss as a factor influencing tau levels.
C: SUPPORTED  
The high-relevance excerpts indicate that lifestyle factors, including social engagement, can influence dementia risk and cognitive performance. Although not explicitly stating hearing loss, the implication is that lower social engagement can be a consequence of hearing impairment, which is a common issue in older adults (Neuroinflammation in Alzheimer disease, 2024).
D: NOT SUPPORTED  
The high-relevance excerpts do not provide any evidence that hearing loss in older adults leads to enhanced neurogenesis. The discussions focus on neurodegeneration and cognitive decline rather than neurogenesis in the context of hearing loss.
ANSWER: C</t>
  </si>
  <si>
    <t>A: NOT SUPPORTED  
The high-relevance excerpts do not provide any evidence linking hypoxia to Alzheimer's disease (AD). The papers focus on oxidative stress, neuroinflammation, and other factors but do not mention hypoxia as a risk factor.
B: NOT SUPPORTED  
The high-relevance excerpts do not specifically discuss gut microbiota imbalance as a factor linked to AD. While there is mention of the gut microbiome's influence on cognitive parameters in mice with AD, it does not establish a direct epidemiological link to AD.
C: NOT SUPPORTED  
The high-relevance excerpts do not provide evidence linking high education to AD. Although education is often discussed in the context of cognitive resilience, the specific excerpts do not mention it as an epidemiological factor related to AD.
D: SUPPORTED  
The high-relevance excerpts indicate that specific dietary patterns, particularly a well-balanced diet, have been linked to AD risk. The Mediterranean diet is mentioned as a dietary pattern associated with better cognitive outcomes in individuals at risk of dementia (Oxidative damage in neurodegeneration: roles in the pathogenesis and progression of Alzheimer disease, 2023).
ANSWER: D</t>
  </si>
  <si>
    <t>A: SUPPORTED (The use of Tau-PET imaging is discussed as a method for detecting tauopathy, which is largely specific for Alzheimer's disease and correlates with cognitive performance and disease progression. This is supported by evidence from the "Alzheimer disease" review, 2021.)
B: SUPPORTED (MRI is mentioned as a necessary initial evaluation tool for suspected cognitive impairment, allowing assessment of macroscopic brain atrophy, which is associated with Alzheimer's disease. This is supported by evidence from the "Alzheimer disease" review, 2021.)
C: SUPPORTED (CT is noted as one of the first imaging modalities used to evaluate patients with cognitive impairment, although it has been largely superseded by MRI for research purposes. This is supported by evidence from the "Alzheimer disease" review, 2021.)
D: SUPPORTED (FDG-PET is highlighted for revealing patterns of hypometabolism that are characteristic of Alzheimer's disease and correlating with cognitive impairment severity. This is supported by evidence from the "Alzheimer disease" review, 2021.)
ANSWER: ABCD</t>
  </si>
  <si>
    <t>A: NOT SUPPORTED  
The high-relevance excerpts do not provide evidence that CSF biomarkers are used to stage disease progression. They mention that CSF biomarkers can indicate whether a person is in the AD spectrum but do not specifically state that they are used to stage progression.
B: SUPPORTED  
CSF biomarkers are mentioned as being used in the context of diagnosing mild cognitive impairment (MCI). The excerpt states that both CSF p-tau181 and t-tau are typically increased in MCI and dementia due to AD, indicating their role in diagnosis (Alzheimer disease, 2021).
C: SUPPORTED  
CSF biomarkers, specifically p-tau181, are recognized as specific biomarkers for tau pathology. The excerpts indicate that p-tau181 is markedly increased in AD, supporting its role in indicating tau pathology (Alzheimer disease, 2021).
D: NOT SUPPORTED  
The excerpts do not support the idea that CSF biomarkers can replace neuropsychological testing. They emphasize the importance of clinical evaluation and neuropsychological testing in the diagnostic process, indicating that CSF biomarkers are adjuncts rather than replacements (Alzheimer disease, 2021).
ANSWER: B, C</t>
  </si>
  <si>
    <t>A: NOT SUPPORTED  
The high-relevance excerpts do not provide direct evidence that gut microbiota promotes inflammation in AD animal models. While there is mention of microbiome-related effects on the blood-brain barrier (BBB) and microglial activation, the specific promotion of inflammation is not clearly established.
B: SUPPORTED  
The evidence indicates that therapy with Bifidobacterium and Lactobacillus species-based probiotics after antibiotic administration improves BBB integrity and memory deficits in mouse models of AD (Neuroinflammation in Alzheimer disease, 2024). This suggests a positive effect of gut microbiota on memory.
C: NOT SUPPORTED  
There is no direct evidence in the high-relevance excerpts indicating that gut microbiota impairs spatial learning in AD animal models. The excerpts focus on memory improvement rather than impairment.
D: NOT SUPPORTED  
The high-relevance excerpts do not provide direct evidence that gut microbiota reduces tau levels in AD animal models. The focus is more on the effects of microbiota on memory and BBB integrity rather than on tau pathology.
ANSWER: B</t>
  </si>
  <si>
    <t>A: NOT SUPPORTED  
The high-relevance excerpts do not provide evidence for reduced REM duration being associated with Alzheimer's disease (AD). The focus is on neuronal activity during sleep and its relationship with hyperexcitability and sleep disturbances, but REM sleep specifically is not mentioned.
B: SUPPORTED  
The review "Linking activity dyshomeostasis and sleep disturbances in Alzheimer disease" (2024) discusses the vulnerability of neural circuits in early stages of AD to hyperexcitability during low-arousal states, such as sleep. This implies that abnormal slow-wave oscillations may be a characteristic associated with AD.
C: NOT SUPPORTED  
The high-relevance excerpts do not mention increased CSF tau during wakefulness as being associated with AD. The focus is on the relationship between sleep disturbances and neuronal activity, but there is no direct evidence linking CSF tau levels during wakefulness to sleep characteristics in AD.
D: NOT SUPPORTED  
The excerpts do not provide evidence for stable sleep architecture being associated with AD. Instead, they highlight disturbances in sleep patterns and neuronal activity, indicating that sleep architecture may not be stable in individuals with AD.
ANSWER: B</t>
  </si>
  <si>
    <t>A: NOT SUPPORTED  
The high-relevance excerpts and abstracts do not provide any evidence supporting the use of melatonin for improving cognition in MCI or early dementia.
B: SUPPORTED  
Rivastigmine is mentioned as a cholinesterase inhibitor that is approved for mild to moderate Alzheimer's disease, which includes MCI. The review indicates that pharmacological approaches specific to Alzheimer's disease are limited to cholinesterase inhibitors like rivastigmine (Alzheimer disease, 2021).
C: NOT SUPPORTED  
The high-relevance excerpts and abstracts do not provide any evidence supporting the use of suvorexant for improving cognition in MCI or early dementia.
D: NOT SUPPORTED  
The high-relevance excerpts and abstracts do not provide any evidence supporting the use of a ketogenic diet for improving cognition in MCI or early dementia.
ANSWER: B</t>
  </si>
  <si>
    <t>A: SUPPORTED (The A-T-N framework includes "A" for amyloid beta, which is specifically mentioned in the context of biomarkers for Alzheimer's disease in the paper "Alzheimer disease" (2021).)
B: SUPPORTED (The A-T-N framework includes "T" for tau, as indicated in the same paper "Alzheimer disease" (2021), which discusses tau as a key biomarker for Alzheimer's disease pathology.)
C: SUPPORTED (The A-T-N framework includes "N" for neurodegeneration markers, which is explicitly mentioned in the paper "Alzheimer disease" (2021) as part of the biomarker classification for Alzheimer's disease.)
D: NOT SUPPORTED (There is no direct evidence in the provided papers that synaptic vesicle proteins are part of the A-T-N framework for Alzheimer's disease biomarkers. The focus is on amyloid, tau, and neurodegeneration markers.)
ANSWER: ABC</t>
  </si>
  <si>
    <t>A: NOT SUPPORTED  
The high-relevance excerpts do not mention sleep apnea as a contributing factor to AD progression. The focus is on sleep disturbances in general, particularly the relationship between sleep characteristics and AD pathogenesis, but specific conditions like sleep apnea are not discussed.
B: NOT SUPPORTED  
There is no mention of long sleep duration as a contributing factor to AD progression in the high-relevance excerpts. The excerpts discuss changes in sleep patterns with aging and in AD but do not specifically address long sleep duration.
C: SUPPORTED  
The high-relevance excerpts indicate that sleep characteristics, including decreased nocturnal sleep time and increased frequency of daytime naps, are associated with AD progression. This suggests that short sleep duration may contribute to the pathogenesis of AD (Linking activity dyshomeostasis and sleep disturbances in Alzheimer disease, 2024).
D: NOT SUPPORTED  
Insomnia is not specifically mentioned in the high-relevance excerpts as a contributing factor to AD progression. The excerpts focus on general sleep disturbances rather than specific conditions like insomnia.
ANSWER: C</t>
  </si>
  <si>
    <t>A: NOT SUPPORTED  
The high-relevance excerpts do not provide direct evidence linking hearing loss in older adults to decreased brain volume. The papers focus on neurodegenerative processes and their mechanisms but do not specifically address the impact of hearing loss on brain volume.
B: NOT SUPPORTED  
There is no direct evidence in the high-relevance excerpts that specifically connects hearing loss in older adults to higher tau levels. The excerpts discuss tau pathology in the context of Alzheimer’s disease but do not mention hearing loss as a contributing factor.
C: SUPPORTED  
The high-relevance excerpts indicate that lifestyle factors, including social engagement, can influence dementia risk and cognitive performance. While not explicitly stating hearing loss leads to lower social engagement, the implication is that hearing impairment could affect social interactions, which is supported by the context of cognitive decline and social factors discussed in the literature (Neuroinflammation in Alzheimer disease, 2024).
D: NOT SUPPORTED  
The high-relevance excerpts do not provide any evidence that hearing loss in older adults leads to enhanced neurogenesis. The focus is primarily on neurodegeneration and the pathological mechanisms of Alzheimer’s disease, with no mention of neurogenesis in relation to hearing loss.
ANSWER: C</t>
  </si>
  <si>
    <t>A: NOT SUPPORTED  
The high-relevance excerpts do not provide any evidence linking hypoxia to Alzheimer's disease (AD). The papers focus on oxidative stress, neuroinflammation, and genetic factors, but do not mention hypoxia as a risk factor.
B: NOT SUPPORTED  
The high-relevance excerpts do not specifically discuss gut microbiota imbalance as a factor linked to AD. While there is mention of the gut microbiome's influence on cognitive parameters in mice with AD, it does not establish a direct epidemiological link to AD in humans.
C: NOT SUPPORTED  
The high-relevance excerpts do not provide evidence linking high education to AD. Although education is often discussed in the context of cognitive resilience, the excerpts do not explicitly state that high education is an epidemiological factor linked to AD.
D: SUPPORTED  
The high-relevance excerpts indicate that specific dietary patterns, particularly a well-balanced diet, have been linked to AD risk. The Mediterranean diet is mentioned as a dietary pattern associated with better cognitive outcomes in individuals at risk of dementia (Oxidative damage in neurodegeneration: roles in the pathogenesis and progression of Alzheimer disease, 2023).
ANSWER: D</t>
  </si>
  <si>
    <t>A: SUPPORTED (Tau-PET imaging allows the detection of tauopathy, which is largely specific for Alzheimer's disease and is predictive of subsequent cognitive decline, as discussed in "Alzheimer disease," 2021.)
B: SUPPORTED (MRI is often used as a first step to exclude other causes of cognitive impairment and allows the assessment of macroscopic brain atrophy, as mentioned in "Alzheimer disease," 2021.)
C: SUPPORTED (CT was one of the first imaging modalities used to evaluate patients with cognitive impairment, although it has been largely superseded by MRI for research purposes, as noted in "Alzheimer disease," 2021.)
D: SUPPORTED (FDG-PET has revealed a pattern of hypometabolism that is highly characteristic of Alzheimer's disease and correlates with cognitive impairment severity, as stated in "Alzheimer disease," 2021.)
ANSWER: ABCD</t>
  </si>
  <si>
    <t>A: NOT SUPPORTED  
The high-relevance excerpts do not provide evidence that CSF biomarkers are used to stage disease progression in Alzheimer's disease (AD). They focus on diagnostic utility rather than staging.
B: SUPPORTED  
CSF biomarkers, particularly Aβ42 and phosphorylated tau (p-tau181), are mentioned as being used clinically for diagnosing Alzheimer's disease and are recognized for their diagnostic utility in individuals with mild cognitive impairment (MCI) (Alzheimer disease, 2021).
C: SUPPORTED  
CSF biomarkers such as p-tau181 are specifically indicated as markers for tau pathology in Alzheimer's disease, correlating with neurofibrillary tangles (Alzheimer disease, 2021).
D: NOT SUPPORTED  
The excerpts do not support the idea that CSF biomarkers can replace neuropsychological testing. They emphasize the role of biomarkers in conjunction with clinical evaluations rather than as a replacement for neuropsychological assessments.
ANSWER: B, C</t>
  </si>
  <si>
    <t>A: NOT SUPPORTED  
The high-relevance excerpts do not provide direct evidence that gut microbiota promotes inflammation in AD animal models. While there is mention of microbiome-originated LPS and SCFAs potentially impairing the blood-brain barrier (BBB) and affecting immune responses, there is no clear statement linking gut microbiota directly to promoting inflammation in the context of AD.
B: SUPPORTED  
The evidence indicates that therapy with Bifidobacterium and Lactobacillus species-based probiotics after antibiotic administration improves BBB integrity and memory deficits in mouse models of AD (Neuroinflammation in Alzheimer disease, 2024). This suggests that gut microbiota can improve memory in AD animal models.
C: NOT SUPPORTED  
The excerpts do not provide evidence that gut microbiota impairs spatial learning in AD animal models. There is no mention of negative effects on spatial learning directly attributed to gut microbiota.
D: NOT SUPPORTED  
The high-relevance excerpts do not discuss any effects of gut microbiota on reducing tau levels in AD animal models. There is no direct evidence provided regarding tau levels in relation to gut microbiota.
ANSWER: B</t>
  </si>
  <si>
    <t>A: NOT SUPPORTED  
The high-relevance excerpts do not provide evidence for reduced REM duration being associated with Alzheimer's disease (AD). The focus is on neuronal activity during sleep and its relationship with hyperexcitability and sleep disturbances, but REM sleep specifically is not mentioned.
B: SUPPORTED  
The review "Linking activity dyshomeostasis and sleep disturbances in Alzheimer disease" (2024) discusses the vulnerability of neural circuits in early stages of AD to hyperexcitability during low-arousal states, such as sleep. This implies that abnormal slow-wave oscillations may be a characteristic associated with AD.
C: NOT SUPPORTED  
There is no direct evidence in the high-relevance excerpts regarding increased CSF tau during wakefulness being associated with AD. The excerpts focus on neuronal activity and sleep disturbances without mentioning CSF tau levels.
D: NOT SUPPORTED  
The high-relevance excerpts do not provide evidence for stable sleep architecture being associated with AD. The focus is on the dysregulation of neuronal activity and its implications for sleep disturbances, rather than on stable sleep architecture.
ANSWER: B</t>
  </si>
  <si>
    <t>A: NOT SUPPORTED  
The high-relevance excerpts do not provide any evidence supporting the use of melatonin for improving cognition in MCI or early dementia. The topic is not covered in the provided papers.
B: SUPPORTED  
Rivastigmine is mentioned as a cholinesterase inhibitor that is approved for use in mild to moderate Alzheimer's disease (AD) and is relevant for cognitive improvement in these patients (Alzheimer disease, 2021).
C: NOT SUPPORTED  
The high-relevance excerpts do not provide any evidence supporting the use of suvorexant for improving cognition in MCI or early dementia. The topic is not covered in the provided papers.
D: NOT SUPPORTED  
The high-relevance excerpts do not provide any evidence supporting the ketogenic diet for improving cognition in MCI or early dementia. The topic is not covered in the provided papers.
ANSWER: B</t>
  </si>
  <si>
    <t>A: SUPPORTED (The A-T-N framework includes "A" for amyloid beta, which is specifically mentioned in the context of biomarkers for Alzheimer's disease in the paper "Alzheimer disease" (2021).)
B: SUPPORTED (The A-T-N framework includes "T" for tau, as indicated in the same paper "Alzheimer disease" (2021), which discusses tau as a key biomarker for Alzheimer's disease pathology.)
C: SUPPORTED (The A-T-N framework includes "N" for neurodegeneration markers, which is explicitly mentioned in the paper "Alzheimer disease" (2021) as part of the biomarker classification system.)
D: NOT SUPPORTED (There is no mention of synaptic vesicle proteins as part of the A-T-N framework in the provided excerpts or abstracts. The focus is on amyloid, tau, and neurodegeneration markers.)
ANSWER: ABC</t>
  </si>
  <si>
    <t>A: NOT SUPPORTED  
The high-relevance excerpts do not mention sleep apnea as a contributing factor to AD progression. The focus is on sleep disturbances in general, particularly the relationship between sleep and activity homeostasis, but does not specify sleep apnea.
B: NOT SUPPORTED  
There is no mention of long sleep duration as a contributing factor to AD progression in the high-relevance excerpts. The excerpts discuss changes in sleep patterns with aging and AD but do not specifically address long sleep duration.
C: SUPPORTED  
The high-relevance excerpts indicate that sleep characteristics change with aging and that individuals with AD exhibit impairments in sleep, including decreased slow-wave activity and increased nocturnal awakenings, which can be linked to AD progression (Linking activity dyshomeostasis and sleep disturbances in Alzheimer disease, 2024).
D: NOT SUPPORTED  
The excerpts do not specifically mention insomnia as a contributing factor to AD progression. While sleep disturbances are discussed, insomnia is not explicitly identified.
ANSWER: C</t>
  </si>
  <si>
    <t>A: NOT SUPPORTED  
The high-relevance excerpts do not provide direct evidence linking hearing loss in older adults to decreased brain volume. While there are discussions about brain volume in the context of Alzheimer's disease, hearing loss specifically is not addressed in relation to brain volume changes.
B: NOT SUPPORTED  
There is no direct evidence in the high-relevance excerpts linking hearing loss in older adults to higher tau levels. The excerpts discuss tau pathology in the context of Alzheimer's disease but do not mention hearing loss as a factor influencing tau levels.
C: SUPPORTED  
The high-relevance excerpts indicate that lifestyle factors, including social engagement, can influence dementia risk and cognitive performance. Although not explicitly stating hearing loss, the implication is that lower social engagement can be a consequence of hearing impairment, which is a common issue in older adults (Neuroinflammation in Alzheimer disease, 2024).
D: NOT SUPPORTED  
The high-relevance excerpts do not provide any evidence that hearing loss in older adults leads to enhanced neurogenesis. The discussions focus on neurodegeneration and cognitive decline rather than neurogenesis in the context of hearing loss.
ANSWER: C</t>
  </si>
  <si>
    <t>A: NOT SUPPORTED  
The high-relevance excerpts do not provide any evidence linking hypoxia to Alzheimer's disease (AD). The papers focus on oxidative stress, neuroinflammation, and other factors but do not mention hypoxia as a risk factor.
B: SUPPORTED  
The review on neuroinflammation discusses the gut microbiome's role in modulating cognitive parameters and its potential impact on AD pathology, indicating that gut microbiota imbalance may influence the disease (Neuroinflammation in Alzheimer disease, 2024).
C: NOT SUPPORTED  
There is no direct evidence in the high-relevance excerpts linking high education to AD. The papers do not discuss education as a risk factor or protective factor for AD.
D: SUPPORTED  
The review on oxidative damage highlights that specific dietary patterns, particularly a well-balanced diet, are linked to AD risk and may influence the disease's outcomes (Oxidative damage in neurodegeneration: roles in the pathogenesis and progression of Alzheimer disease, 2023).
ANSWER: BD</t>
  </si>
  <si>
    <t>A: NOT SUPPORTED  
The high-relevance excerpts do not provide evidence that CSF biomarkers are used to stage disease progression in Alzheimer's disease (AD). They focus on diagnostic utility rather than staging.
B: SUPPORTED  
CSF biomarkers, particularly Aβ 42 and phosphorylated tau (p-tau181), are mentioned as being used clinically for diagnosing Alzheimer's disease and are recognized for their diagnostic utility in individuals with mild cognitive impairment (MCI) (Alzheimer disease, 2021).
C: SUPPORTED  
CSF biomarkers, specifically p-tau181, are indicated as specific biomarkers for tau pathology in AD. The excerpts highlight that p-tau181 is markedly increased in AD, supporting its role in indicating tau pathology (Alzheimer disease, 2021).
D: NOT SUPPORTED  
The excerpts do not suggest that CSF biomarkers can replace neuropsychological testing. They emphasize the importance of clinical evaluation and neuropsychological testing in the diagnostic process (Alzheimer disease, 2021).
ANSWER: B, C</t>
  </si>
  <si>
    <t>A: NOT SUPPORTED  
The high-relevance excerpts do not provide direct evidence that gut microbiota promotes inflammation in AD animal models. While there is mention of microbiome-originated LPS and SCFAs potentially impairing the blood-brain barrier (BBB) and affecting immune responses, there is no clear statement linking gut microbiota directly to promoting inflammation in the context of AD.
B: SUPPORTED  
The evidence indicates that therapy with Bifidobacterium and Lactobacillus species-based probiotics after antibiotic administration improves BBB integrity and memory deficits in mouse models of AD (Neuroinflammation in Alzheimer disease, 2024). This suggests that gut microbiota can improve memory in AD animal models.
C: NOT SUPPORTED  
The excerpts do not provide direct evidence that gut microbiota impairs spatial learning in AD animal models. There is no mention of negative effects on spatial learning specifically attributed to gut microbiota.
D: NOT SUPPORTED  
The high-relevance excerpts do not provide direct evidence that gut microbiota reduces tau levels in AD animal models. While tau-related neurodegeneration is discussed, there is no specific mention of gut microbiota's effect on tau levels.
ANSWER: B</t>
  </si>
  <si>
    <t>A: NOT SUPPORTED  
The high-relevance excerpts do not provide evidence for reduced REM duration being associated with Alzheimer's disease (AD). The focus is on neuronal activity during sleep and its relationship with hyperexcitability and sleep disturbances, but REM sleep specifically is not mentioned.
B: SUPPORTED  
The review "Linking activity dyshomeostasis and sleep disturbances in Alzheimer disease" (2024) discusses the vulnerability of neural circuits in early stages of AD to hyperexcitability during low-arousal states, such as sleep. This implies that abnormal slow-wave oscillations may be a characteristic associated with AD.
C: NOT SUPPORTED  
The high-relevance excerpts do not provide evidence for increased CSF tau during wakefulness being associated with AD. The focus is on the relationship between sleep disturbances and neuronal activity, but there is no mention of CSF tau levels during wakefulness.
D: NOT SUPPORTED  
The high-relevance excerpts do not support the idea of stable sleep architecture being associated with AD. The excerpts discuss disruptions in sleep patterns and hyperexcitability, indicating instability rather than stability in sleep architecture.
ANSWER: B</t>
  </si>
  <si>
    <t>A: NOT SUPPORTED  
The high-relevance excerpts and abstracts do not provide any evidence supporting the use of melatonin for improving cognition in MCI or early dementia.
B: SUPPORTED  
Rivastigmine is mentioned as a cholinesterase inhibitor that is approved for mild to moderate Alzheimer's disease (AD) and is relevant for cognitive improvement in patients with MCI or early dementia (Alzheimer disease, 2021).
C: NOT SUPPORTED  
The high-relevance excerpts and abstracts do not provide any evidence supporting the use of suvorexant for improving cognition in MCI or early dementia.
D: NOT SUPPORTED  
The high-relevance excerpts and abstracts do not provide any evidence supporting the ketogenic diet for improving cognition in MCI or early dementia.
ANSWER: B</t>
  </si>
  <si>
    <t>A: SUPPORTED (The A-T-N framework includes amyloid beta as a key biomarker, specifically mentioned in the context of the Aβ abnormalities in the AD spectrum, as discussed in "Alzheimer disease" 2021.)
B: SUPPORTED (Tau is explicitly identified as a component of the A-T-N framework, with references to phosphorylated tau (p-tau) as a specific biomarker for tau pathology in "Alzheimer disease" 2021.)
C: SUPPORTED (Neurodegeneration markers are included in the A-T-N framework, as the framework aims to classify individuals based on neurodegeneration indicators, as noted in "Alzheimer disease" 2021.)
D: NOT SUPPORTED (There is no mention of synaptic vesicle proteins as part of the A-T-N framework in the provided excerpts; the focus is on amyloid, tau, and neurodegeneration markers.)
ANSWER: ABC</t>
  </si>
  <si>
    <t>A: NOT SUPPORTED  
The high-relevance excerpts do not mention sleep apnea as a contributing factor to AD progression. The focus is on sleep disturbances in general, particularly the relationship between sleep characteristics and AD pathogenesis, but sleep apnea is not specifically discussed.
B: NOT SUPPORTED  
There is no mention of long sleep duration as a contributing factor to AD progression in the high-relevance excerpts. The excerpts discuss changes in sleep patterns with aging and in AD but do not specifically address long sleep duration.
C: SUPPORTED  
The high-relevance excerpts indicate that sleep characteristics, including decreased nocturnal sleep time and increased frequency of daytime naps, are associated with AD progression. This suggests that short sleep duration may contribute to the pathogenesis of AD (Linking activity dyshomeostasis and sleep disturbances in Alzheimer disease, 2024).
D: NOT SUPPORTED  
Insomnia is not specifically mentioned in the high-relevance excerpts as a contributing factor to AD progression. The excerpts focus on general sleep disturbances without detailing insomnia.
ANSWER: C</t>
  </si>
  <si>
    <t>A: NOT SUPPORTED  
- The high-relevance excerpts and abstracts do not mention Cognitive Behavioral Therapy for Insomnia (CBT-I) as a promising intervention for sleep-related Alzheimer's disease therapy.
B: NOT SUPPORTED  
- The high-relevance excerpts and abstracts do not mention Suvorexant as a promising intervention for sleep-related Alzheimer's disease therapy.
C: NOT SUPPORTED  
- The high-relevance excerpts and abstracts do not mention Continuous Positive Airway Pressure (CPAP) as a promising intervention for sleep-related Alzheimer's disease therapy.
D: NOT SUPPORTED  
- The high-relevance excerpts and abstracts do not mention Ketamine as a promising intervention for sleep-related Alzheimer's disease therapy.
ANSWER: (no supported letters)</t>
  </si>
  <si>
    <t>A: NOT SUPPORTED  
The high-relevance excerpts do not provide direct evidence linking hearing loss in older adults to decreased brain volume. While there are discussions about brain volume in the context of Alzheimer's disease, hearing loss is not specifically mentioned in relation to brain volume changes.
B: NOT SUPPORTED  
There is no direct evidence in the high-relevance excerpts linking hearing loss in older adults to higher tau levels. The excerpts discuss tau levels in the context of Alzheimer's disease but do not mention hearing loss as a contributing factor.
C: SUPPORTED  
The high-relevance excerpts indicate that lifestyle factors, including social engagement, can influence dementia risk and cognitive performance. Although not explicitly stating hearing loss, the implication is that lower social engagement can be a consequence of hearing impairment, which is a common issue in older adults (Neuroinflammation in Alzheimer disease, 2024).
D: NOT SUPPORTED  
The high-relevance excerpts do not provide any evidence that hearing loss in older adults leads to enhanced neurogenesis. The discussions focus on neurodegeneration and cognitive decline rather than neurogenesis in the context of hearing loss.
ANSWER: C</t>
  </si>
  <si>
    <t>A: NOT SUPPORTED  
The high-relevance excerpts do not provide any direct evidence linking hypoxia to Alzheimer's disease (AD). The papers focus on oxidative stress, neuroinflammation, and other factors but do not mention hypoxia as a risk factor.
B: NOT SUPPORTED  
There is no direct evidence in the high-relevance excerpts linking gut microbiota imbalance to AD. While the microbiome's role in health is discussed, it does not specifically state that gut microbiota imbalance is an epidemiological factor for AD.
C: NOT SUPPORTED  
The high-relevance excerpts do not provide direct evidence linking high education to AD. Although education is often discussed in the context of cognitive resilience, it is not explicitly mentioned as an epidemiological factor in the provided excerpts.
D: SUPPORTED  
The high-relevance excerpts indicate that specific dietary patterns, particularly a well-balanced diet, have been linked to AD risk. The Mediterranean diet is mentioned as a dietary pattern associated with better cognitive outcomes in individuals at risk of dementia (Oxidative damage in neurodegeneration: roles in the pathogenesis and progression of Alzheimer disease, 2023).
ANSWER: D</t>
  </si>
  <si>
    <t>A: NOT SUPPORTED  
The high-relevance excerpts do not provide evidence that CSF biomarkers are used to stage disease progression in Alzheimer's disease (AD). They focus on diagnostic utility rather than staging.
B: SUPPORTED  
CSF biomarkers, particularly Aβ 42 and phosphorylated tau (p-tau181), are mentioned as being used clinically for diagnosing Alzheimer's disease and are recognized for their diagnostic utility in individuals with mild cognitive impairment (MCI) (Alzheimer disease, 2021).
C: SUPPORTED  
The excerpts indicate that p-tau181 is considered a specific biomarker for tau pathology, which is relevant for diagnosing Alzheimer's disease (Alzheimer disease, 2021).
D: NOT SUPPORTED  
There is no evidence in the high-relevance excerpts that CSF biomarkers are intended to replace neuropsychological testing in the diagnosis of AD. The excerpts emphasize the role of biomarkers in conjunction with clinical evaluations rather than as replacements.
ANSWER: B, C</t>
  </si>
  <si>
    <t>A: NOT SUPPORTED  
The high-relevance excerpts do not provide evidence for reduced REM duration being associated with Alzheimer's disease (AD). The focus is on neuronal activity during sleep and its relationship to hyperexcitability and sleep disturbances, but REM sleep characteristics are not specifically mentioned.
B: SUPPORTED  
The review "Linking activity dyshomeostasis and sleep disturbances in Alzheimer disease" (2024) discusses the vulnerability of neural circuits in early stages of AD to hyperexcitability during low-arousal states, such as sleep. This implies that abnormal slow-wave oscillations may be a characteristic associated with AD.
C: NOT SUPPORTED  
The high-relevance excerpts do not mention increased CSF tau during wakefulness as a characteristic associated with AD. The focus is on the relationship between sleep disturbances and neuronal activity, but specific evidence regarding CSF tau levels is not provided.
D: NOT SUPPORTED  
The excerpts do not provide evidence for stable sleep architecture being associated with AD. Instead, they highlight disturbances in sleep patterns and neuronal excitability, but stable sleep architecture is not discussed.
ANSWER: B</t>
  </si>
  <si>
    <t xml:space="preserve">Multiple-choice questions used a strict partial-credit scheme intended to penalize unsupported selection: if any incorrect option was selected, the response received a score of zero; otherwise, the score corresponded to the proportion of correct options identified. </t>
  </si>
  <si>
    <t>Configuration</t>
  </si>
  <si>
    <t>Exact match</t>
  </si>
  <si>
    <t>Partial-credit correctness</t>
  </si>
  <si>
    <t>Confidence</t>
  </si>
  <si>
    <t>Execution time</t>
  </si>
  <si>
    <t>37.8% ± 32.8%</t>
  </si>
  <si>
    <t>71.5% ± 1.7%</t>
  </si>
  <si>
    <t>5.3 ± 1.7 s</t>
  </si>
  <si>
    <t>43.8% ± 34.5%</t>
  </si>
  <si>
    <t>71.8% ± 1.2%</t>
  </si>
  <si>
    <t>5.6 ± 2.4 s</t>
  </si>
  <si>
    <t>32.5% ± 30.2%</t>
  </si>
  <si>
    <t>74.7% ± 0.8%</t>
  </si>
  <si>
    <t>5.4 ± 1.3 s</t>
  </si>
  <si>
    <t>31.8% ± 31.3%</t>
  </si>
  <si>
    <t>75.4% ± 3.5%</t>
  </si>
  <si>
    <t>5.8 ± 1.1 s</t>
  </si>
  <si>
    <t>exact_matches</t>
  </si>
  <si>
    <t>total_responses</t>
  </si>
  <si>
    <t>exact_match_accuracy</t>
  </si>
  <si>
    <t>correctness_sd</t>
  </si>
  <si>
    <t>+ Evidence quality</t>
  </si>
  <si>
    <t>+ Temporal recency</t>
  </si>
  <si>
    <t>+ Hybrid context</t>
  </si>
  <si>
    <t>use the rule from cosine similarity</t>
  </si>
  <si>
    <t>use the old rule of et-rag</t>
  </si>
  <si>
    <t>use the new prompts and rules of the et-rag</t>
  </si>
  <si>
    <t>74.0% ± 0.0%</t>
  </si>
  <si>
    <t>5.5 ± 1.5 (s)</t>
  </si>
  <si>
    <t>80.0% ± 11.2%</t>
  </si>
  <si>
    <t>69.2% ± 0.0%</t>
  </si>
  <si>
    <t>4.1 ± 0.6 (s)</t>
  </si>
  <si>
    <t>66.7% ± 0.0%</t>
  </si>
  <si>
    <t>70.5% ± 0.0%</t>
  </si>
  <si>
    <t>5.4 ± 1.3 (s)</t>
  </si>
  <si>
    <t>71.2% ± 0.0%</t>
  </si>
  <si>
    <t>5.4 ± 0.9 (s)</t>
  </si>
  <si>
    <t>71.6% ± 0.0%</t>
  </si>
  <si>
    <t>5.8 ± 1.8 (s)</t>
  </si>
  <si>
    <t>73.7% ± 0.0%</t>
  </si>
  <si>
    <t>4.6 ± 0.6 (s)</t>
  </si>
  <si>
    <t>74.3% ± 0.0%</t>
  </si>
  <si>
    <t>5.7 ± 2.1 (s)</t>
  </si>
  <si>
    <t>72.9% ± 0.0%</t>
  </si>
  <si>
    <t>4.2 ± 0.5 (s)</t>
  </si>
  <si>
    <t>53.3% ± 29.8%</t>
  </si>
  <si>
    <t>69.5% ± 0.0%</t>
  </si>
  <si>
    <t>5.8 ± 1.2 (s)</t>
  </si>
  <si>
    <t>33.3% ± 0.0%</t>
  </si>
  <si>
    <t>70.9% ± 0.0%</t>
  </si>
  <si>
    <t>73.9% ± 0.0%</t>
  </si>
  <si>
    <t>5.2 ± 1.0 (s)</t>
  </si>
  <si>
    <t>70.2% ± 0.0%</t>
  </si>
  <si>
    <t>4.4 ± 0.4 (s)</t>
  </si>
  <si>
    <t>5.8 ± 1.9 (s)</t>
  </si>
  <si>
    <t>72.3% ± 0.0%</t>
  </si>
  <si>
    <t>5.6 ± 2.9 (s)</t>
  </si>
  <si>
    <t>72.0% ± 0.0%</t>
  </si>
  <si>
    <t>4.7 ± 0.7 (s)</t>
  </si>
  <si>
    <t>80.0% ± 44.7%</t>
  </si>
  <si>
    <t>7.8 ± 3.5 (s)</t>
  </si>
  <si>
    <t>6.6 ± 2.1 (s)</t>
  </si>
  <si>
    <t>72.8% ± 0.0%</t>
  </si>
  <si>
    <t>4.9 ± 0.8 (s)</t>
  </si>
  <si>
    <t>70.4% ± 0.0%</t>
  </si>
  <si>
    <t>5.5 ± 0.4 (s)</t>
  </si>
  <si>
    <t>9.0 ± 4.2 (s)</t>
  </si>
  <si>
    <t>76.1% ± 0.0%</t>
  </si>
  <si>
    <t>7.3 ± 3.2 (s)</t>
  </si>
  <si>
    <t>73.4% ± 0.0%</t>
  </si>
  <si>
    <t>5.2 ± 0.4 (s)</t>
  </si>
  <si>
    <t>74.5% ± 0.0%</t>
  </si>
  <si>
    <t>5.0 ± 0.7 (s)</t>
  </si>
  <si>
    <t>75.1% ± 0.0%</t>
  </si>
  <si>
    <t>5.3 ± 0.6 (s)</t>
  </si>
  <si>
    <t>74.8% ± 0.0%</t>
  </si>
  <si>
    <t>5.6 ± 1.3 (s)</t>
  </si>
  <si>
    <t>76.0% ± 0.0%</t>
  </si>
  <si>
    <t>5.5 ± 1.2 (s)</t>
  </si>
  <si>
    <t>76.3% ± 0.0%</t>
  </si>
  <si>
    <t>5.2 ± 0.5 (s)</t>
  </si>
  <si>
    <t>6.1 ± 1.2 (s)</t>
  </si>
  <si>
    <t>74.7% ± 0.0%</t>
  </si>
  <si>
    <t>5.1 ± 0.3 (s)</t>
  </si>
  <si>
    <t>7.5 ± 1.1 (s)</t>
  </si>
  <si>
    <t>75.0% ± 0.0%</t>
  </si>
  <si>
    <t>6.6 ± 2.3 (s)</t>
  </si>
  <si>
    <t>6.3 ± 0.9 (s)</t>
  </si>
  <si>
    <t>7.1 ± 2.1 (s)</t>
  </si>
  <si>
    <t>6.6 ± 2.0 (s)</t>
  </si>
  <si>
    <t>6.3 ± 1.0 (s)</t>
  </si>
  <si>
    <t>6.9 ± 0.6 (s)</t>
  </si>
  <si>
    <t>5.9 ± 0.7 (s)</t>
  </si>
  <si>
    <t>6.4 ± 0.3 (s)</t>
  </si>
  <si>
    <t>6.4 ± 1.5 (s)</t>
  </si>
  <si>
    <t>60.0% ± 38.4%</t>
  </si>
  <si>
    <t>71.8% ± 1.9%</t>
  </si>
  <si>
    <t>5.2 ± 0.6 (s)</t>
  </si>
  <si>
    <t>79.3% ± 21.9%</t>
  </si>
  <si>
    <t>72.3% ± 1.4%</t>
  </si>
  <si>
    <t>6.0 ± 1.5 (s)</t>
  </si>
  <si>
    <t>63.3% ± 39.9%</t>
  </si>
  <si>
    <t>75.0% ± 1.0%</t>
  </si>
  <si>
    <t>5.8 ± 0.9 (s)</t>
  </si>
  <si>
    <t>74.2% ± 34.4%</t>
  </si>
  <si>
    <t>6.6 ± 0.5 (s)</t>
  </si>
  <si>
    <t>round 1</t>
  </si>
  <si>
    <t>5 rounds</t>
  </si>
  <si>
    <t>A0 + Evidence quality</t>
  </si>
  <si>
    <t>A1 + Temporal recency</t>
  </si>
  <si>
    <t>A2 + Hybrid context</t>
  </si>
  <si>
    <t>before prompt finetuning</t>
  </si>
  <si>
    <t>across 10 questions</t>
  </si>
  <si>
    <t>after prompt finetuning</t>
  </si>
  <si>
    <t>Config</t>
  </si>
  <si>
    <t>Execution Time</t>
  </si>
  <si>
    <t>68.0% ± 32.0%</t>
  </si>
  <si>
    <t>72.0% ± 2.0%</t>
  </si>
  <si>
    <t>4.7 ± 1.3 s</t>
  </si>
  <si>
    <t>68.0% ± 33.0%</t>
  </si>
  <si>
    <t>72.0% ± 1.0%</t>
  </si>
  <si>
    <t>4.9 ± 1.4 s</t>
  </si>
  <si>
    <t>67.0% ± 38.0%</t>
  </si>
  <si>
    <t>5.4 ± 2.0 s</t>
  </si>
  <si>
    <t>74.0% ± 33.0%</t>
  </si>
  <si>
    <t>6.8 ± 4.9 s</t>
  </si>
  <si>
    <t>Retrieval score</t>
  </si>
  <si>
    <t>1.0 × similarity</t>
  </si>
  <si>
    <t>0.7 Sim + 0.3 Evidence</t>
  </si>
  <si>
    <t>0.5 Sim + 0.3 Evidence + 0.2 Time</t>
  </si>
  <si>
    <t>Same as A2</t>
  </si>
  <si>
    <t>4.9 ± 0.7 (s)</t>
  </si>
  <si>
    <t>50.0% ± 0.0%</t>
  </si>
  <si>
    <t>4.2 ± 0.8 (s)</t>
  </si>
  <si>
    <t>4.6 ± 1.3 (s)</t>
  </si>
  <si>
    <t>4.6 ± 0.5 (s)</t>
  </si>
  <si>
    <t>4.0 ± 0.2 (s)</t>
  </si>
  <si>
    <t>5.7 ± 2.5 (s)</t>
  </si>
  <si>
    <t>20.0% ± 44.7%</t>
  </si>
  <si>
    <t>6.2 ± 2.1 (s)</t>
  </si>
  <si>
    <t>3.9 ± 0.3 (s)</t>
  </si>
  <si>
    <t>73.8% ± 0.0%</t>
  </si>
  <si>
    <t>4.5 ± 0.5 (s)</t>
  </si>
  <si>
    <t>5.5 ± 3.6 (s)</t>
  </si>
  <si>
    <t>4.7 ± 1.3 (s)</t>
  </si>
  <si>
    <t>60.0% ± 54.8%</t>
  </si>
  <si>
    <t>4.5 ± 0.4 (s)</t>
  </si>
  <si>
    <t>4.4 ± 0.7 (s)</t>
  </si>
  <si>
    <t>4.8 ± 0.9 (s)</t>
  </si>
  <si>
    <t>5.5 ± 1.9 (s)</t>
  </si>
  <si>
    <t>5.0 ± 1.4 (s)</t>
  </si>
  <si>
    <t>5.6 ± 0.9 (s)</t>
  </si>
  <si>
    <t>6.9 ± 3.8 (s)</t>
  </si>
  <si>
    <t>95.0% ± 11.2%</t>
  </si>
  <si>
    <t>5.0 ± 2.3 (s)</t>
  </si>
  <si>
    <t>5.4 ± 1.0 (s)</t>
  </si>
  <si>
    <t>5.3 ± 0.9 (s)</t>
  </si>
  <si>
    <t>4.9 ± 0.4 (s)</t>
  </si>
  <si>
    <t>75.9% ± 0.0%</t>
  </si>
  <si>
    <t>4.4 ± 0.3 (s)</t>
  </si>
  <si>
    <t>76.2% ± 0.0%</t>
  </si>
  <si>
    <t>4.5 ± 0.6 (s)</t>
  </si>
  <si>
    <t>26.7% ± 36.5%</t>
  </si>
  <si>
    <t>5.0 ± 0.6 (s)</t>
  </si>
  <si>
    <t>5.9 ± 0.4 (s)</t>
  </si>
  <si>
    <t>5.6 ± 1.1 (s)</t>
  </si>
  <si>
    <t>6.7 ± 2.4 (s)</t>
  </si>
  <si>
    <t>7.6 ± 1.9 (s)</t>
  </si>
  <si>
    <t>5.8 ± 0.6 (s)</t>
  </si>
  <si>
    <t>5.6 ± 0.3 (s)</t>
  </si>
  <si>
    <t>12.7 ± 15.0 (s)</t>
  </si>
  <si>
    <t>6.0 ± 0.7 (s)</t>
  </si>
  <si>
    <t>6.2 ± 0.4 (s)</t>
  </si>
  <si>
    <t>6.1 ± 1.1 (s)</t>
  </si>
  <si>
    <t>Topic</t>
  </si>
  <si>
    <t>Hallmark protein of AD</t>
  </si>
  <si>
    <t>Sleep disorder &amp; AD risk</t>
  </si>
  <si>
    <t>First amyloid imaging</t>
  </si>
  <si>
    <t>Gut intervention for AD</t>
  </si>
  <si>
    <t>Control (forestry)</t>
  </si>
  <si>
    <t>Tau letter in A-T-N</t>
  </si>
  <si>
    <t>Age group, hearing loss</t>
  </si>
  <si>
    <t>Sleep stage, clearance</t>
  </si>
  <si>
    <t>Volume change, hearing</t>
  </si>
  <si>
    <t>Mediterranean diet role</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</si>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</sst>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5" x14ac:knownFonts="1">
    <font>
      <sz val="11"/>
      <color theme="1"/>
      <name val="Calibri"/>
      <family val="2"/>
      <scheme val="minor"/>
    </font>
    <font>
      <b/>
      <sz val="11"/>
      <color theme="1"/>
      <name val="Calibri"/>
      <family val="2"/>
      <scheme val="minor"/>
    </font>
    <font>
      <sz val="11"/>
      <color rgb="FF3B3B3B"/>
      <name val="Consolas"/>
      <family val="3"/>
    </font>
    <font>
      <b/>
      <sz val="12"/>
      <color theme="1"/>
      <name val="Calibri"/>
      <family val="2"/>
      <scheme val="minor"/>
    </font>
    <font>
      <sz val="12"/>
      <color theme="1"/>
      <name val="Calibri"/>
      <family val="2"/>
      <scheme val="minor"/>
    </font>
  </fonts>
  <fills count="2">
    <fill>
      <patternFill patternType="none"/>
    </fill>
    <fill>
      <patternFill patternType="gray125"/>
    </fill>
  </fills>
  <borders count="5">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2">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49" fontId="0" fillId="0" borderId="0" xfId="0" applyNumberFormat="1"/>
    <xf numFmtId="0" fontId="0" fillId="0" borderId="0" xfId="0" applyAlignment="1">
      <alignment vertical="center"/>
    </xf>
    <xf numFmtId="2" fontId="0" fillId="0" borderId="0" xfId="0" applyNumberFormat="1"/>
    <xf numFmtId="171" fontId="0" fillId="0" borderId="0" xfId="0" applyNumberFormat="1"/>
    <xf numFmtId="2" fontId="0" fillId="0" borderId="0" xfId="0" applyNumberFormat="1" applyAlignment="1"/>
    <xf numFmtId="0" fontId="0" fillId="0" borderId="0" xfId="0" applyAlignment="1">
      <alignment horizontal="left" vertical="center"/>
    </xf>
    <xf numFmtId="0" fontId="1" fillId="0" borderId="0" xfId="0" applyFont="1" applyAlignment="1">
      <alignment horizontal="left" vertical="center" wrapText="1"/>
    </xf>
    <xf numFmtId="0" fontId="1" fillId="0" borderId="0" xfId="0" applyFont="1" applyAlignment="1">
      <alignment horizontal="right" vertical="center"/>
    </xf>
    <xf numFmtId="0" fontId="0" fillId="0" borderId="0" xfId="0" applyAlignment="1">
      <alignment horizontal="right"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0" fillId="0" borderId="2" xfId="0" applyBorder="1" applyAlignment="1">
      <alignment horizontal="center" vertical="center"/>
    </xf>
    <xf numFmtId="49" fontId="0" fillId="0" borderId="2" xfId="0" applyNumberFormat="1" applyBorder="1" applyAlignment="1">
      <alignment horizontal="center" vertical="center"/>
    </xf>
    <xf numFmtId="2" fontId="0" fillId="0" borderId="2" xfId="0" applyNumberFormat="1" applyBorder="1" applyAlignment="1">
      <alignment horizontal="center" vertical="center"/>
    </xf>
    <xf numFmtId="0" fontId="1" fillId="0" borderId="0" xfId="0" applyFont="1" applyBorder="1" applyAlignment="1">
      <alignment horizontal="center" vertical="center"/>
    </xf>
    <xf numFmtId="49" fontId="0" fillId="0" borderId="0" xfId="0" applyNumberFormat="1" applyBorder="1" applyAlignment="1">
      <alignment horizontal="center" vertical="center"/>
    </xf>
    <xf numFmtId="0" fontId="0" fillId="0" borderId="0" xfId="0" applyBorder="1" applyAlignment="1">
      <alignment horizontal="center" vertical="center"/>
    </xf>
    <xf numFmtId="2" fontId="0" fillId="0" borderId="0" xfId="0" applyNumberFormat="1" applyBorder="1" applyAlignment="1">
      <alignment horizontal="center" vertical="center"/>
    </xf>
    <xf numFmtId="0" fontId="1" fillId="0" borderId="3" xfId="0" applyFont="1" applyBorder="1" applyAlignment="1">
      <alignment horizontal="center" vertical="center"/>
    </xf>
    <xf numFmtId="49" fontId="0" fillId="0" borderId="3" xfId="0" applyNumberFormat="1" applyBorder="1" applyAlignment="1">
      <alignment horizontal="center" vertical="center"/>
    </xf>
    <xf numFmtId="0" fontId="0" fillId="0" borderId="3" xfId="0" applyBorder="1" applyAlignment="1">
      <alignment horizontal="center" vertical="center"/>
    </xf>
    <xf numFmtId="2" fontId="0" fillId="0" borderId="3" xfId="0" applyNumberForma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xf>
    <xf numFmtId="0" fontId="2" fillId="0" borderId="2" xfId="0" applyFont="1" applyBorder="1" applyAlignment="1">
      <alignment vertical="center"/>
    </xf>
    <xf numFmtId="0" fontId="2" fillId="0" borderId="0" xfId="0" applyFont="1" applyBorder="1" applyAlignment="1">
      <alignment vertical="center"/>
    </xf>
    <xf numFmtId="0" fontId="4" fillId="0" borderId="0" xfId="0" applyFont="1" applyBorder="1" applyAlignment="1">
      <alignment horizontal="left" vertical="center" indent="1"/>
    </xf>
    <xf numFmtId="0" fontId="0" fillId="0" borderId="0" xfId="0" applyBorder="1" applyAlignment="1">
      <alignment vertical="center" wrapText="1"/>
    </xf>
    <xf numFmtId="0" fontId="2" fillId="0" borderId="3" xfId="0" applyFont="1" applyBorder="1" applyAlignment="1">
      <alignment vertical="center"/>
    </xf>
    <xf numFmtId="0" fontId="4" fillId="0" borderId="3" xfId="0" applyFont="1" applyBorder="1" applyAlignment="1">
      <alignment horizontal="left" vertical="center" indent="1"/>
    </xf>
    <xf numFmtId="0" fontId="0" fillId="0" borderId="3" xfId="0" applyBorder="1" applyAlignment="1">
      <alignment vertical="center" wrapText="1"/>
    </xf>
    <xf numFmtId="0" fontId="2" fillId="0" borderId="1" xfId="0" applyFont="1" applyBorder="1" applyAlignment="1">
      <alignment vertical="center"/>
    </xf>
    <xf numFmtId="0" fontId="3" fillId="0" borderId="1" xfId="0" applyFont="1" applyBorder="1" applyAlignment="1">
      <alignment horizontal="left" vertical="center" indent="1"/>
    </xf>
    <xf numFmtId="0" fontId="1" fillId="0" borderId="1" xfId="0" applyFont="1" applyBorder="1" applyAlignment="1">
      <alignment horizontal="center" vertical="center" wrapText="1"/>
    </xf>
    <xf numFmtId="0" fontId="4" fillId="0" borderId="2" xfId="0" applyFont="1" applyBorder="1" applyAlignment="1">
      <alignment horizontal="left" vertical="center" indent="1"/>
    </xf>
    <xf numFmtId="0" fontId="0" fillId="0" borderId="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9"/>
  <sheetViews>
    <sheetView workbookViewId="0">
      <selection activeCell="D8" sqref="D8"/>
    </sheetView>
  </sheetViews>
  <sheetFormatPr defaultRowHeight="15" x14ac:dyDescent="0.25"/>
  <cols>
    <col min="1" max="2" width="17.5703125" customWidth="1"/>
    <col min="3" max="3" width="88.42578125" customWidth="1"/>
  </cols>
  <sheetData>
    <row r="1" spans="1:5" x14ac:dyDescent="0.25">
      <c r="A1" t="s">
        <v>0</v>
      </c>
      <c r="B1" t="s">
        <v>1</v>
      </c>
      <c r="C1" t="s">
        <v>2</v>
      </c>
      <c r="D1" t="s">
        <v>3</v>
      </c>
      <c r="E1" t="s">
        <v>4</v>
      </c>
    </row>
    <row r="2" spans="1:5" x14ac:dyDescent="0.25">
      <c r="A2">
        <v>1</v>
      </c>
      <c r="B2" t="s">
        <v>5</v>
      </c>
      <c r="C2" t="s">
        <v>6</v>
      </c>
      <c r="D2">
        <v>0.75370000000000004</v>
      </c>
      <c r="E2">
        <v>9.32</v>
      </c>
    </row>
    <row r="3" spans="1:5" x14ac:dyDescent="0.25">
      <c r="A3">
        <v>2</v>
      </c>
      <c r="B3" t="s">
        <v>7</v>
      </c>
      <c r="C3" t="s">
        <v>8</v>
      </c>
      <c r="D3">
        <v>0.73540000000000005</v>
      </c>
      <c r="E3">
        <v>4.01</v>
      </c>
    </row>
    <row r="4" spans="1:5" ht="75" x14ac:dyDescent="0.25">
      <c r="A4">
        <v>3</v>
      </c>
      <c r="B4" t="s">
        <v>9</v>
      </c>
      <c r="C4" s="1" t="s">
        <v>10</v>
      </c>
      <c r="D4">
        <v>0.753</v>
      </c>
      <c r="E4">
        <v>5.54</v>
      </c>
    </row>
    <row r="5" spans="1:5" ht="90" x14ac:dyDescent="0.25">
      <c r="A5">
        <v>4</v>
      </c>
      <c r="B5" t="s">
        <v>11</v>
      </c>
      <c r="C5" s="1" t="s">
        <v>12</v>
      </c>
      <c r="D5">
        <v>0.74209999999999998</v>
      </c>
      <c r="E5">
        <v>8.59</v>
      </c>
    </row>
    <row r="6" spans="1:5" x14ac:dyDescent="0.25">
      <c r="A6">
        <v>5</v>
      </c>
      <c r="B6" t="s">
        <v>13</v>
      </c>
      <c r="C6" t="s">
        <v>14</v>
      </c>
      <c r="D6">
        <v>0.92</v>
      </c>
      <c r="E6">
        <v>3.45</v>
      </c>
    </row>
    <row r="7" spans="1:5" ht="60" x14ac:dyDescent="0.25">
      <c r="A7">
        <v>6</v>
      </c>
      <c r="B7" t="s">
        <v>15</v>
      </c>
      <c r="C7" s="1" t="s">
        <v>16</v>
      </c>
      <c r="D7">
        <v>0.74639999999999995</v>
      </c>
      <c r="E7">
        <v>8.08</v>
      </c>
    </row>
    <row r="8" spans="1:5" ht="90" x14ac:dyDescent="0.25">
      <c r="A8">
        <v>7</v>
      </c>
      <c r="B8" t="s">
        <v>17</v>
      </c>
      <c r="C8" s="1" t="s">
        <v>18</v>
      </c>
      <c r="D8">
        <v>0.74109999999999998</v>
      </c>
      <c r="E8">
        <v>7.1</v>
      </c>
    </row>
    <row r="9" spans="1:5" ht="90" x14ac:dyDescent="0.25">
      <c r="A9">
        <v>8</v>
      </c>
      <c r="B9" t="s">
        <v>19</v>
      </c>
      <c r="C9" s="1" t="s">
        <v>20</v>
      </c>
      <c r="D9">
        <v>0.73529999999999995</v>
      </c>
      <c r="E9">
        <v>4.38</v>
      </c>
    </row>
    <row r="10" spans="1:5" ht="90" x14ac:dyDescent="0.25">
      <c r="A10">
        <v>9</v>
      </c>
      <c r="B10" t="s">
        <v>21</v>
      </c>
      <c r="C10" s="1" t="s">
        <v>22</v>
      </c>
      <c r="D10">
        <v>0.74050000000000005</v>
      </c>
      <c r="E10">
        <v>3.3</v>
      </c>
    </row>
    <row r="11" spans="1:5" x14ac:dyDescent="0.25">
      <c r="A11">
        <v>10</v>
      </c>
      <c r="B11" t="s">
        <v>23</v>
      </c>
      <c r="C11" t="s">
        <v>24</v>
      </c>
      <c r="D11">
        <v>0.73570000000000002</v>
      </c>
      <c r="E11">
        <v>4.07</v>
      </c>
    </row>
    <row r="13" spans="1:5" x14ac:dyDescent="0.25">
      <c r="A13" t="s">
        <v>0</v>
      </c>
      <c r="B13" t="s">
        <v>1</v>
      </c>
      <c r="C13" t="s">
        <v>2</v>
      </c>
      <c r="D13" t="s">
        <v>3</v>
      </c>
      <c r="E13" t="s">
        <v>4</v>
      </c>
    </row>
    <row r="14" spans="1:5" x14ac:dyDescent="0.25">
      <c r="A14">
        <v>1</v>
      </c>
      <c r="B14" t="s">
        <v>5</v>
      </c>
      <c r="C14" t="s">
        <v>6</v>
      </c>
      <c r="D14">
        <v>0.75370000000000004</v>
      </c>
      <c r="E14">
        <v>9.48</v>
      </c>
    </row>
    <row r="15" spans="1:5" x14ac:dyDescent="0.25">
      <c r="A15">
        <v>2</v>
      </c>
      <c r="B15" t="s">
        <v>7</v>
      </c>
      <c r="C15" s="1" t="s">
        <v>25</v>
      </c>
      <c r="D15">
        <v>0.73540000000000005</v>
      </c>
      <c r="E15">
        <v>4.67</v>
      </c>
    </row>
    <row r="16" spans="1:5" x14ac:dyDescent="0.25">
      <c r="A16">
        <v>3</v>
      </c>
      <c r="B16" t="s">
        <v>9</v>
      </c>
      <c r="C16" s="1" t="s">
        <v>10</v>
      </c>
      <c r="D16">
        <v>0.753</v>
      </c>
      <c r="E16">
        <v>3.7</v>
      </c>
    </row>
    <row r="17" spans="1:5" x14ac:dyDescent="0.25">
      <c r="A17">
        <v>4</v>
      </c>
      <c r="B17" t="s">
        <v>11</v>
      </c>
      <c r="C17" s="1" t="s">
        <v>26</v>
      </c>
      <c r="D17">
        <v>0.74209999999999998</v>
      </c>
      <c r="E17">
        <v>4.03</v>
      </c>
    </row>
    <row r="18" spans="1:5" x14ac:dyDescent="0.25">
      <c r="A18">
        <v>5</v>
      </c>
      <c r="B18" t="s">
        <v>13</v>
      </c>
      <c r="C18" t="s">
        <v>14</v>
      </c>
      <c r="D18">
        <v>0.92</v>
      </c>
      <c r="E18">
        <v>4.51</v>
      </c>
    </row>
    <row r="19" spans="1:5" x14ac:dyDescent="0.25">
      <c r="A19">
        <v>6</v>
      </c>
      <c r="B19" t="s">
        <v>15</v>
      </c>
      <c r="C19" s="1" t="s">
        <v>27</v>
      </c>
      <c r="D19">
        <v>0.74639999999999995</v>
      </c>
      <c r="E19">
        <v>3.34</v>
      </c>
    </row>
    <row r="20" spans="1:5" x14ac:dyDescent="0.25">
      <c r="A20">
        <v>7</v>
      </c>
      <c r="B20" t="s">
        <v>17</v>
      </c>
      <c r="C20" s="1" t="s">
        <v>28</v>
      </c>
      <c r="D20">
        <v>0.748</v>
      </c>
      <c r="E20">
        <v>4.5999999999999996</v>
      </c>
    </row>
    <row r="21" spans="1:5" x14ac:dyDescent="0.25">
      <c r="A21">
        <v>8</v>
      </c>
      <c r="B21" t="s">
        <v>19</v>
      </c>
      <c r="C21" s="1" t="s">
        <v>29</v>
      </c>
      <c r="D21">
        <v>0.73529999999999995</v>
      </c>
      <c r="E21">
        <v>3.9</v>
      </c>
    </row>
    <row r="22" spans="1:5" x14ac:dyDescent="0.25">
      <c r="A22">
        <v>9</v>
      </c>
      <c r="B22" t="s">
        <v>21</v>
      </c>
      <c r="C22" s="1" t="s">
        <v>30</v>
      </c>
      <c r="D22">
        <v>0.74050000000000005</v>
      </c>
      <c r="E22">
        <v>3.28</v>
      </c>
    </row>
    <row r="23" spans="1:5" x14ac:dyDescent="0.25">
      <c r="A23">
        <v>10</v>
      </c>
      <c r="B23" t="s">
        <v>23</v>
      </c>
      <c r="C23" t="s">
        <v>31</v>
      </c>
      <c r="D23">
        <v>0.73570000000000002</v>
      </c>
      <c r="E23">
        <v>4.1900000000000004</v>
      </c>
    </row>
    <row r="25" spans="1:5" x14ac:dyDescent="0.25">
      <c r="A25" t="s">
        <v>0</v>
      </c>
      <c r="B25" t="s">
        <v>1</v>
      </c>
      <c r="C25" t="s">
        <v>2</v>
      </c>
      <c r="D25" t="s">
        <v>3</v>
      </c>
      <c r="E25" t="s">
        <v>4</v>
      </c>
    </row>
    <row r="26" spans="1:5" x14ac:dyDescent="0.25">
      <c r="A26">
        <v>1</v>
      </c>
      <c r="B26" t="s">
        <v>5</v>
      </c>
      <c r="C26" t="s">
        <v>6</v>
      </c>
      <c r="D26">
        <v>0.75370000000000004</v>
      </c>
      <c r="E26">
        <v>4.3499999999999996</v>
      </c>
    </row>
    <row r="27" spans="1:5" x14ac:dyDescent="0.25">
      <c r="A27">
        <v>2</v>
      </c>
      <c r="B27" t="s">
        <v>7</v>
      </c>
      <c r="C27" s="1" t="s">
        <v>32</v>
      </c>
      <c r="D27">
        <v>0.73540000000000005</v>
      </c>
      <c r="E27">
        <v>3.6</v>
      </c>
    </row>
    <row r="28" spans="1:5" x14ac:dyDescent="0.25">
      <c r="A28">
        <v>3</v>
      </c>
      <c r="B28" t="s">
        <v>9</v>
      </c>
      <c r="C28" s="1" t="s">
        <v>10</v>
      </c>
      <c r="D28">
        <v>0.753</v>
      </c>
      <c r="E28">
        <v>3.05</v>
      </c>
    </row>
    <row r="29" spans="1:5" x14ac:dyDescent="0.25">
      <c r="A29">
        <v>4</v>
      </c>
      <c r="B29" t="s">
        <v>11</v>
      </c>
      <c r="C29" s="1" t="s">
        <v>26</v>
      </c>
      <c r="D29">
        <v>0.74209999999999998</v>
      </c>
      <c r="E29">
        <v>3.81</v>
      </c>
    </row>
    <row r="30" spans="1:5" x14ac:dyDescent="0.25">
      <c r="A30">
        <v>5</v>
      </c>
      <c r="B30" t="s">
        <v>13</v>
      </c>
      <c r="C30" t="s">
        <v>14</v>
      </c>
      <c r="D30">
        <v>0.92</v>
      </c>
      <c r="E30">
        <v>2.62</v>
      </c>
    </row>
    <row r="31" spans="1:5" x14ac:dyDescent="0.25">
      <c r="A31">
        <v>6</v>
      </c>
      <c r="B31" t="s">
        <v>15</v>
      </c>
      <c r="C31" s="1" t="s">
        <v>27</v>
      </c>
      <c r="D31">
        <v>0.74639999999999995</v>
      </c>
      <c r="E31">
        <v>2.96</v>
      </c>
    </row>
    <row r="32" spans="1:5" x14ac:dyDescent="0.25">
      <c r="A32">
        <v>7</v>
      </c>
      <c r="B32" t="s">
        <v>17</v>
      </c>
      <c r="C32" s="1" t="s">
        <v>33</v>
      </c>
      <c r="D32">
        <v>0.748</v>
      </c>
      <c r="E32">
        <v>4.0599999999999996</v>
      </c>
    </row>
    <row r="33" spans="1:5" x14ac:dyDescent="0.25">
      <c r="A33">
        <v>8</v>
      </c>
      <c r="B33" t="s">
        <v>19</v>
      </c>
      <c r="C33" s="1" t="s">
        <v>29</v>
      </c>
      <c r="D33">
        <v>0.73529999999999995</v>
      </c>
      <c r="E33">
        <v>4.1100000000000003</v>
      </c>
    </row>
    <row r="34" spans="1:5" x14ac:dyDescent="0.25">
      <c r="A34">
        <v>9</v>
      </c>
      <c r="B34" t="s">
        <v>21</v>
      </c>
      <c r="C34" s="1" t="s">
        <v>30</v>
      </c>
      <c r="D34">
        <v>0.74050000000000005</v>
      </c>
      <c r="E34">
        <v>4.32</v>
      </c>
    </row>
    <row r="35" spans="1:5" x14ac:dyDescent="0.25">
      <c r="A35">
        <v>10</v>
      </c>
      <c r="B35" t="s">
        <v>23</v>
      </c>
      <c r="C35" t="s">
        <v>34</v>
      </c>
      <c r="D35">
        <v>0.73570000000000002</v>
      </c>
      <c r="E35">
        <v>3.27</v>
      </c>
    </row>
    <row r="37" spans="1:5" x14ac:dyDescent="0.25">
      <c r="A37" t="s">
        <v>0</v>
      </c>
      <c r="B37" t="s">
        <v>1</v>
      </c>
      <c r="C37" t="s">
        <v>2</v>
      </c>
      <c r="D37" t="s">
        <v>3</v>
      </c>
      <c r="E37" t="s">
        <v>4</v>
      </c>
    </row>
    <row r="38" spans="1:5" x14ac:dyDescent="0.25">
      <c r="A38">
        <v>1</v>
      </c>
      <c r="B38" t="s">
        <v>5</v>
      </c>
      <c r="C38" t="s">
        <v>6</v>
      </c>
      <c r="D38">
        <v>0.75370000000000004</v>
      </c>
      <c r="E38">
        <v>9.81</v>
      </c>
    </row>
    <row r="39" spans="1:5" x14ac:dyDescent="0.25">
      <c r="A39">
        <v>2</v>
      </c>
      <c r="B39" t="s">
        <v>7</v>
      </c>
      <c r="C39" t="s">
        <v>35</v>
      </c>
      <c r="D39">
        <v>0.73540000000000005</v>
      </c>
      <c r="E39">
        <v>4.62</v>
      </c>
    </row>
    <row r="40" spans="1:5" x14ac:dyDescent="0.25">
      <c r="A40">
        <v>3</v>
      </c>
      <c r="B40" t="s">
        <v>9</v>
      </c>
      <c r="C40" s="1" t="s">
        <v>10</v>
      </c>
      <c r="D40">
        <v>0.753</v>
      </c>
      <c r="E40">
        <v>3.74</v>
      </c>
    </row>
    <row r="41" spans="1:5" x14ac:dyDescent="0.25">
      <c r="A41">
        <v>4</v>
      </c>
      <c r="B41" t="s">
        <v>11</v>
      </c>
      <c r="C41" s="1" t="s">
        <v>12</v>
      </c>
      <c r="D41">
        <v>0.74209999999999998</v>
      </c>
      <c r="E41">
        <v>4.6399999999999997</v>
      </c>
    </row>
    <row r="42" spans="1:5" x14ac:dyDescent="0.25">
      <c r="A42">
        <v>5</v>
      </c>
      <c r="B42" t="s">
        <v>13</v>
      </c>
      <c r="C42" t="s">
        <v>14</v>
      </c>
      <c r="D42">
        <v>0.92</v>
      </c>
      <c r="E42">
        <v>3.67</v>
      </c>
    </row>
    <row r="43" spans="1:5" x14ac:dyDescent="0.25">
      <c r="A43">
        <v>6</v>
      </c>
      <c r="B43" t="s">
        <v>15</v>
      </c>
      <c r="C43" s="1" t="s">
        <v>16</v>
      </c>
      <c r="D43">
        <v>0.74639999999999995</v>
      </c>
      <c r="E43">
        <v>11.94</v>
      </c>
    </row>
    <row r="44" spans="1:5" x14ac:dyDescent="0.25">
      <c r="A44">
        <v>7</v>
      </c>
      <c r="B44" t="s">
        <v>17</v>
      </c>
      <c r="C44" s="1" t="s">
        <v>36</v>
      </c>
      <c r="D44">
        <v>0.748</v>
      </c>
      <c r="E44">
        <v>4.7300000000000004</v>
      </c>
    </row>
    <row r="45" spans="1:5" x14ac:dyDescent="0.25">
      <c r="A45">
        <v>8</v>
      </c>
      <c r="B45" t="s">
        <v>19</v>
      </c>
      <c r="C45" s="1" t="s">
        <v>37</v>
      </c>
      <c r="D45">
        <v>0.73529999999999995</v>
      </c>
      <c r="E45">
        <v>3.91</v>
      </c>
    </row>
    <row r="46" spans="1:5" x14ac:dyDescent="0.25">
      <c r="A46">
        <v>9</v>
      </c>
      <c r="B46" t="s">
        <v>21</v>
      </c>
      <c r="C46" s="1" t="s">
        <v>22</v>
      </c>
      <c r="D46">
        <v>0.74050000000000005</v>
      </c>
      <c r="E46">
        <v>4.83</v>
      </c>
    </row>
    <row r="47" spans="1:5" x14ac:dyDescent="0.25">
      <c r="A47">
        <v>10</v>
      </c>
      <c r="B47" t="s">
        <v>23</v>
      </c>
      <c r="C47" s="1" t="s">
        <v>38</v>
      </c>
      <c r="D47">
        <v>0.73570000000000002</v>
      </c>
      <c r="E47">
        <v>8.07</v>
      </c>
    </row>
    <row r="49" spans="1:5" x14ac:dyDescent="0.25">
      <c r="A49" t="s">
        <v>0</v>
      </c>
      <c r="B49" t="s">
        <v>1</v>
      </c>
      <c r="C49" t="s">
        <v>2</v>
      </c>
      <c r="D49" t="s">
        <v>3</v>
      </c>
      <c r="E49" t="s">
        <v>4</v>
      </c>
    </row>
    <row r="50" spans="1:5" x14ac:dyDescent="0.25">
      <c r="A50">
        <v>1</v>
      </c>
      <c r="B50" t="s">
        <v>5</v>
      </c>
      <c r="C50" t="s">
        <v>6</v>
      </c>
      <c r="D50">
        <v>0.75370000000000004</v>
      </c>
      <c r="E50">
        <v>4</v>
      </c>
    </row>
    <row r="51" spans="1:5" x14ac:dyDescent="0.25">
      <c r="A51">
        <v>2</v>
      </c>
      <c r="B51" t="s">
        <v>7</v>
      </c>
      <c r="C51" t="s">
        <v>35</v>
      </c>
      <c r="D51">
        <v>0.73540000000000005</v>
      </c>
      <c r="E51">
        <v>6.16</v>
      </c>
    </row>
    <row r="52" spans="1:5" x14ac:dyDescent="0.25">
      <c r="A52">
        <v>3</v>
      </c>
      <c r="B52" t="s">
        <v>9</v>
      </c>
      <c r="C52" s="1" t="s">
        <v>39</v>
      </c>
      <c r="D52">
        <v>0.753</v>
      </c>
      <c r="E52">
        <v>4.6100000000000003</v>
      </c>
    </row>
    <row r="53" spans="1:5" x14ac:dyDescent="0.25">
      <c r="A53">
        <v>4</v>
      </c>
      <c r="B53" t="s">
        <v>11</v>
      </c>
      <c r="C53" s="1" t="s">
        <v>12</v>
      </c>
      <c r="D53">
        <v>0.74209999999999998</v>
      </c>
      <c r="E53">
        <v>3.37</v>
      </c>
    </row>
    <row r="54" spans="1:5" x14ac:dyDescent="0.25">
      <c r="A54">
        <v>5</v>
      </c>
      <c r="B54" t="s">
        <v>13</v>
      </c>
      <c r="C54" t="s">
        <v>14</v>
      </c>
      <c r="D54">
        <v>0.92</v>
      </c>
      <c r="E54">
        <v>2.8</v>
      </c>
    </row>
    <row r="55" spans="1:5" x14ac:dyDescent="0.25">
      <c r="A55">
        <v>6</v>
      </c>
      <c r="B55" t="s">
        <v>15</v>
      </c>
      <c r="C55" s="1" t="s">
        <v>16</v>
      </c>
      <c r="D55">
        <v>0.74639999999999995</v>
      </c>
      <c r="E55">
        <v>3.23</v>
      </c>
    </row>
    <row r="56" spans="1:5" x14ac:dyDescent="0.25">
      <c r="A56">
        <v>7</v>
      </c>
      <c r="B56" t="s">
        <v>17</v>
      </c>
      <c r="C56" s="1" t="s">
        <v>40</v>
      </c>
      <c r="D56">
        <v>0.748</v>
      </c>
      <c r="E56">
        <v>3.29</v>
      </c>
    </row>
    <row r="57" spans="1:5" x14ac:dyDescent="0.25">
      <c r="A57">
        <v>8</v>
      </c>
      <c r="B57" t="s">
        <v>19</v>
      </c>
      <c r="C57" s="1" t="s">
        <v>37</v>
      </c>
      <c r="D57">
        <v>0.73529999999999995</v>
      </c>
      <c r="E57">
        <v>3.28</v>
      </c>
    </row>
    <row r="58" spans="1:5" x14ac:dyDescent="0.25">
      <c r="A58">
        <v>9</v>
      </c>
      <c r="B58" t="s">
        <v>21</v>
      </c>
      <c r="C58" s="1" t="s">
        <v>41</v>
      </c>
      <c r="D58">
        <v>0.74050000000000005</v>
      </c>
      <c r="E58">
        <v>3.17</v>
      </c>
    </row>
    <row r="59" spans="1:5" x14ac:dyDescent="0.25">
      <c r="A59">
        <v>10</v>
      </c>
      <c r="B59" t="s">
        <v>23</v>
      </c>
      <c r="C59" t="s">
        <v>34</v>
      </c>
      <c r="D59">
        <v>0.73570000000000002</v>
      </c>
      <c r="E59">
        <v>3.26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2972-9AE3-43E2-ABAB-987E1BEC0AFD}">
  <dimension ref="A1:J7"/>
  <sheetViews>
    <sheetView workbookViewId="0">
      <selection activeCell="J36" sqref="J36"/>
    </sheetView>
  </sheetViews>
  <sheetFormatPr defaultRowHeight="15" x14ac:dyDescent="0.25"/>
  <cols>
    <col min="2" max="2" width="22.28515625" customWidth="1"/>
    <col min="3" max="3" width="14.140625" customWidth="1"/>
  </cols>
  <sheetData>
    <row r="1" spans="1:10" x14ac:dyDescent="0.25">
      <c r="A1" t="s">
        <v>69</v>
      </c>
      <c r="B1" t="s">
        <v>70</v>
      </c>
      <c r="C1" t="s">
        <v>71</v>
      </c>
      <c r="D1" t="s">
        <v>72</v>
      </c>
      <c r="E1" t="s">
        <v>73</v>
      </c>
      <c r="F1" t="s">
        <v>44</v>
      </c>
      <c r="G1" t="s">
        <v>74</v>
      </c>
      <c r="H1" t="s">
        <v>45</v>
      </c>
      <c r="I1" t="s">
        <v>75</v>
      </c>
      <c r="J1" t="s">
        <v>76</v>
      </c>
    </row>
    <row r="2" spans="1:10" x14ac:dyDescent="0.25">
      <c r="A2" t="s">
        <v>77</v>
      </c>
      <c r="B2" t="s">
        <v>78</v>
      </c>
      <c r="C2">
        <v>50</v>
      </c>
      <c r="D2">
        <v>50</v>
      </c>
      <c r="E2">
        <v>1</v>
      </c>
      <c r="F2">
        <v>0.72940559999999999</v>
      </c>
      <c r="G2">
        <v>6.5570150110785999E-2</v>
      </c>
      <c r="H2">
        <v>4.6535399999999996</v>
      </c>
      <c r="I2">
        <v>1.8069080277690699</v>
      </c>
      <c r="J2">
        <v>0</v>
      </c>
    </row>
    <row r="3" spans="1:10" x14ac:dyDescent="0.25">
      <c r="A3" t="s">
        <v>79</v>
      </c>
      <c r="B3" t="e" cm="1">
        <f t="array" ref="B3">+ Evidence quality</f>
        <v>#NAME?</v>
      </c>
      <c r="C3">
        <v>50</v>
      </c>
      <c r="D3">
        <v>50</v>
      </c>
      <c r="E3">
        <v>1</v>
      </c>
      <c r="F3">
        <v>0.73393476000000002</v>
      </c>
      <c r="G3">
        <v>6.3354621173704995E-2</v>
      </c>
      <c r="H3">
        <v>4.5441199999999897</v>
      </c>
      <c r="I3">
        <v>1.7582642140846201</v>
      </c>
      <c r="J3">
        <v>0</v>
      </c>
    </row>
    <row r="4" spans="1:10" x14ac:dyDescent="0.25">
      <c r="A4" t="s">
        <v>80</v>
      </c>
      <c r="B4" t="e" cm="1">
        <f t="array" ref="B4">+ Temporal recency</f>
        <v>#NAME?</v>
      </c>
      <c r="C4">
        <v>45</v>
      </c>
      <c r="D4">
        <v>50</v>
      </c>
      <c r="E4">
        <v>0.9</v>
      </c>
      <c r="F4">
        <v>0.76099785999999903</v>
      </c>
      <c r="G4">
        <v>5.3945635819402399E-2</v>
      </c>
      <c r="H4">
        <v>4.5861000000000001</v>
      </c>
      <c r="I4">
        <v>2.6073268917433698</v>
      </c>
      <c r="J4">
        <v>0</v>
      </c>
    </row>
    <row r="5" spans="1:10" x14ac:dyDescent="0.25">
      <c r="A5" t="s">
        <v>81</v>
      </c>
      <c r="B5" t="e" cm="1">
        <f t="array" ref="B5">+ Hybrid context</f>
        <v>#NAME?</v>
      </c>
      <c r="C5">
        <v>45</v>
      </c>
      <c r="D5">
        <v>50</v>
      </c>
      <c r="E5">
        <v>0.9</v>
      </c>
      <c r="F5">
        <v>0.76100123999999902</v>
      </c>
      <c r="G5">
        <v>5.3943973098535401E-2</v>
      </c>
      <c r="H5">
        <v>4.8820999999999897</v>
      </c>
      <c r="I5">
        <v>1.4981940046302999</v>
      </c>
      <c r="J5">
        <v>0</v>
      </c>
    </row>
    <row r="6" spans="1:10" x14ac:dyDescent="0.25">
      <c r="A6" t="s">
        <v>82</v>
      </c>
      <c r="B6" t="e" cm="1">
        <f t="array" ref="B6">+ Per-option retrieval</f>
        <v>#NAME?</v>
      </c>
      <c r="C6">
        <v>45</v>
      </c>
      <c r="D6">
        <v>50</v>
      </c>
      <c r="E6">
        <v>0.9</v>
      </c>
      <c r="F6">
        <v>0.76122641999999996</v>
      </c>
      <c r="G6">
        <v>5.3882710233295598E-2</v>
      </c>
      <c r="H6">
        <v>6.1171799999999896</v>
      </c>
      <c r="I6">
        <v>1.86921895388181</v>
      </c>
      <c r="J6">
        <v>0</v>
      </c>
    </row>
    <row r="7" spans="1:10" x14ac:dyDescent="0.25">
      <c r="A7" t="s">
        <v>83</v>
      </c>
      <c r="B7" t="s">
        <v>84</v>
      </c>
      <c r="C7">
        <v>45</v>
      </c>
      <c r="D7">
        <v>50</v>
      </c>
      <c r="E7">
        <v>0.9</v>
      </c>
      <c r="F7">
        <v>0.76122699999999999</v>
      </c>
      <c r="G7">
        <v>5.3882489695216397E-2</v>
      </c>
      <c r="H7">
        <v>8.1419599999999992</v>
      </c>
      <c r="I7">
        <v>2.1371509545301102</v>
      </c>
      <c r="J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6D8E3-BCAD-44FF-AE18-12EB697F13F4}">
  <dimension ref="A1:H11"/>
  <sheetViews>
    <sheetView workbookViewId="0">
      <selection activeCell="E6" sqref="A1:E11"/>
    </sheetView>
  </sheetViews>
  <sheetFormatPr defaultRowHeight="15" x14ac:dyDescent="0.25"/>
  <cols>
    <col min="1" max="2" width="16.7109375" customWidth="1"/>
    <col min="3" max="3" width="14.7109375" customWidth="1"/>
    <col min="4" max="4" width="18.7109375" customWidth="1"/>
    <col min="5" max="5" width="21.28515625" customWidth="1"/>
    <col min="6" max="6" width="12" customWidth="1"/>
  </cols>
  <sheetData>
    <row r="1" spans="1:8" ht="15.75" x14ac:dyDescent="0.25">
      <c r="A1" s="37" t="s">
        <v>0</v>
      </c>
      <c r="B1" s="38" t="s">
        <v>495</v>
      </c>
      <c r="C1" s="39" t="s">
        <v>46</v>
      </c>
      <c r="D1" s="39" t="s">
        <v>3</v>
      </c>
      <c r="E1" s="39" t="s">
        <v>58</v>
      </c>
      <c r="F1" s="2"/>
      <c r="G1" s="2"/>
      <c r="H1" s="2"/>
    </row>
    <row r="2" spans="1:8" ht="15.75" x14ac:dyDescent="0.25">
      <c r="A2" s="30">
        <v>1</v>
      </c>
      <c r="B2" s="40" t="s">
        <v>496</v>
      </c>
      <c r="C2" s="41" t="s">
        <v>47</v>
      </c>
      <c r="D2" s="41" t="s">
        <v>48</v>
      </c>
      <c r="E2" s="41" t="s">
        <v>59</v>
      </c>
      <c r="F2" s="4"/>
      <c r="G2" s="3"/>
      <c r="H2" s="3"/>
    </row>
    <row r="3" spans="1:8" ht="15.75" x14ac:dyDescent="0.25">
      <c r="A3" s="31">
        <v>2</v>
      </c>
      <c r="B3" s="32" t="s">
        <v>497</v>
      </c>
      <c r="C3" s="33" t="s">
        <v>47</v>
      </c>
      <c r="D3" s="33" t="s">
        <v>49</v>
      </c>
      <c r="E3" s="33" t="s">
        <v>60</v>
      </c>
      <c r="F3" s="4"/>
      <c r="G3" s="3"/>
      <c r="H3" s="3"/>
    </row>
    <row r="4" spans="1:8" ht="15.75" x14ac:dyDescent="0.25">
      <c r="A4" s="31">
        <v>3</v>
      </c>
      <c r="B4" s="32" t="s">
        <v>498</v>
      </c>
      <c r="C4" s="33" t="s">
        <v>47</v>
      </c>
      <c r="D4" s="33" t="s">
        <v>50</v>
      </c>
      <c r="E4" s="33" t="s">
        <v>61</v>
      </c>
      <c r="F4" s="4"/>
      <c r="G4" s="3"/>
      <c r="H4" s="3"/>
    </row>
    <row r="5" spans="1:8" ht="15.75" x14ac:dyDescent="0.25">
      <c r="A5" s="31">
        <v>4</v>
      </c>
      <c r="B5" s="32" t="s">
        <v>499</v>
      </c>
      <c r="C5" s="33" t="s">
        <v>47</v>
      </c>
      <c r="D5" s="33" t="s">
        <v>51</v>
      </c>
      <c r="E5" s="33" t="s">
        <v>62</v>
      </c>
      <c r="F5" s="4"/>
      <c r="G5" s="3"/>
      <c r="H5" s="3"/>
    </row>
    <row r="6" spans="1:8" ht="15.75" x14ac:dyDescent="0.25">
      <c r="A6" s="31">
        <v>5</v>
      </c>
      <c r="B6" s="32" t="s">
        <v>500</v>
      </c>
      <c r="C6" s="33" t="s">
        <v>47</v>
      </c>
      <c r="D6" s="33" t="s">
        <v>52</v>
      </c>
      <c r="E6" s="33" t="s">
        <v>63</v>
      </c>
      <c r="F6" s="4"/>
      <c r="G6" s="3"/>
      <c r="H6" s="3"/>
    </row>
    <row r="7" spans="1:8" ht="15.75" x14ac:dyDescent="0.25">
      <c r="A7" s="31">
        <v>6</v>
      </c>
      <c r="B7" s="32" t="s">
        <v>501</v>
      </c>
      <c r="C7" s="33" t="s">
        <v>47</v>
      </c>
      <c r="D7" s="33" t="s">
        <v>53</v>
      </c>
      <c r="E7" s="33" t="s">
        <v>64</v>
      </c>
      <c r="F7" s="4"/>
      <c r="G7" s="3"/>
      <c r="H7" s="3"/>
    </row>
    <row r="8" spans="1:8" ht="15.75" x14ac:dyDescent="0.25">
      <c r="A8" s="31">
        <v>7</v>
      </c>
      <c r="B8" s="32" t="s">
        <v>502</v>
      </c>
      <c r="C8" s="33" t="s">
        <v>54</v>
      </c>
      <c r="D8" s="33" t="s">
        <v>55</v>
      </c>
      <c r="E8" s="33" t="s">
        <v>65</v>
      </c>
      <c r="F8" s="4"/>
      <c r="G8" s="3"/>
      <c r="H8" s="3"/>
    </row>
    <row r="9" spans="1:8" ht="15.75" x14ac:dyDescent="0.25">
      <c r="A9" s="31">
        <v>8</v>
      </c>
      <c r="B9" s="32" t="s">
        <v>503</v>
      </c>
      <c r="C9" s="33" t="s">
        <v>47</v>
      </c>
      <c r="D9" s="33" t="s">
        <v>49</v>
      </c>
      <c r="E9" s="33" t="s">
        <v>66</v>
      </c>
      <c r="F9" s="4"/>
      <c r="G9" s="3"/>
      <c r="H9" s="3"/>
    </row>
    <row r="10" spans="1:8" ht="15.75" x14ac:dyDescent="0.25">
      <c r="A10" s="31">
        <v>9</v>
      </c>
      <c r="B10" s="32" t="s">
        <v>504</v>
      </c>
      <c r="C10" s="33" t="s">
        <v>47</v>
      </c>
      <c r="D10" s="33" t="s">
        <v>56</v>
      </c>
      <c r="E10" s="33" t="s">
        <v>67</v>
      </c>
      <c r="F10" s="4"/>
      <c r="G10" s="3"/>
      <c r="H10" s="3"/>
    </row>
    <row r="11" spans="1:8" ht="15.75" x14ac:dyDescent="0.25">
      <c r="A11" s="34">
        <v>10</v>
      </c>
      <c r="B11" s="35" t="s">
        <v>505</v>
      </c>
      <c r="C11" s="36" t="s">
        <v>47</v>
      </c>
      <c r="D11" s="36" t="s">
        <v>57</v>
      </c>
      <c r="E11" s="36" t="s">
        <v>68</v>
      </c>
      <c r="F11" s="4"/>
      <c r="G11" s="3"/>
      <c r="H1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2889-3551-4521-B0DC-4D79161DA6AB}">
  <dimension ref="A1:AJ201"/>
  <sheetViews>
    <sheetView topLeftCell="G1" zoomScale="85" zoomScaleNormal="85" workbookViewId="0">
      <selection activeCell="AJ1" sqref="AJ1"/>
    </sheetView>
  </sheetViews>
  <sheetFormatPr defaultRowHeight="15" x14ac:dyDescent="0.25"/>
  <cols>
    <col min="14" max="14" width="16.85546875" customWidth="1"/>
    <col min="15" max="15" width="11.85546875" customWidth="1"/>
    <col min="32" max="32" width="12" customWidth="1"/>
    <col min="36" max="36" width="9.140625" customWidth="1"/>
  </cols>
  <sheetData>
    <row r="1" spans="1:36" x14ac:dyDescent="0.25">
      <c r="A1" t="s">
        <v>85</v>
      </c>
      <c r="B1" t="s">
        <v>86</v>
      </c>
      <c r="C1" t="s">
        <v>87</v>
      </c>
      <c r="D1" t="s">
        <v>88</v>
      </c>
      <c r="E1" t="s">
        <v>69</v>
      </c>
      <c r="F1" t="s">
        <v>70</v>
      </c>
      <c r="G1" t="s">
        <v>89</v>
      </c>
      <c r="H1" t="s">
        <v>90</v>
      </c>
      <c r="I1" t="s">
        <v>91</v>
      </c>
      <c r="J1" t="s">
        <v>92</v>
      </c>
      <c r="K1" t="s">
        <v>93</v>
      </c>
      <c r="L1" t="s">
        <v>94</v>
      </c>
      <c r="M1" t="s">
        <v>95</v>
      </c>
      <c r="N1" t="s">
        <v>96</v>
      </c>
      <c r="O1" t="s">
        <v>97</v>
      </c>
      <c r="P1" t="s">
        <v>98</v>
      </c>
      <c r="Q1" t="s">
        <v>99</v>
      </c>
      <c r="R1" t="s">
        <v>3</v>
      </c>
      <c r="S1" t="s">
        <v>4</v>
      </c>
      <c r="T1" t="s">
        <v>100</v>
      </c>
      <c r="U1" t="s">
        <v>101</v>
      </c>
      <c r="V1" t="s">
        <v>102</v>
      </c>
      <c r="W1" t="s">
        <v>103</v>
      </c>
      <c r="X1" t="s">
        <v>104</v>
      </c>
      <c r="Y1" t="s">
        <v>105</v>
      </c>
      <c r="Z1" t="s">
        <v>106</v>
      </c>
      <c r="AA1" t="s">
        <v>107</v>
      </c>
      <c r="AB1" t="s">
        <v>108</v>
      </c>
      <c r="AC1" t="s">
        <v>109</v>
      </c>
      <c r="AD1" t="s">
        <v>110</v>
      </c>
      <c r="AE1" t="s">
        <v>111</v>
      </c>
      <c r="AF1" t="s">
        <v>96</v>
      </c>
      <c r="AG1" t="s">
        <v>98</v>
      </c>
      <c r="AJ1" t="s">
        <v>320</v>
      </c>
    </row>
    <row r="2" spans="1:36" ht="15.75" customHeight="1" x14ac:dyDescent="0.25">
      <c r="A2">
        <v>1</v>
      </c>
      <c r="B2">
        <v>0</v>
      </c>
      <c r="C2" t="s">
        <v>112</v>
      </c>
      <c r="D2" t="s">
        <v>113</v>
      </c>
      <c r="E2" t="s">
        <v>77</v>
      </c>
      <c r="F2" t="s">
        <v>78</v>
      </c>
      <c r="G2" t="s">
        <v>114</v>
      </c>
      <c r="H2">
        <v>1</v>
      </c>
      <c r="I2">
        <v>0</v>
      </c>
      <c r="J2">
        <v>0</v>
      </c>
      <c r="K2">
        <v>1</v>
      </c>
      <c r="L2" t="s">
        <v>115</v>
      </c>
      <c r="M2" t="s">
        <v>116</v>
      </c>
      <c r="N2" t="s">
        <v>117</v>
      </c>
      <c r="O2" t="s">
        <v>118</v>
      </c>
      <c r="P2" t="s">
        <v>117</v>
      </c>
      <c r="Q2" t="b">
        <v>1</v>
      </c>
      <c r="R2">
        <v>0.73776299999999995</v>
      </c>
      <c r="S2">
        <v>8.3230000000000004</v>
      </c>
      <c r="T2">
        <v>5.3879999999999999</v>
      </c>
      <c r="U2">
        <v>0</v>
      </c>
      <c r="V2">
        <v>27</v>
      </c>
      <c r="W2">
        <v>20</v>
      </c>
      <c r="X2">
        <v>0.53646499999999997</v>
      </c>
      <c r="Y2" t="b">
        <v>0</v>
      </c>
      <c r="Z2" t="b">
        <v>0</v>
      </c>
      <c r="AA2" t="b">
        <v>0</v>
      </c>
      <c r="AB2" t="b">
        <v>0</v>
      </c>
      <c r="AC2" t="s">
        <v>119</v>
      </c>
      <c r="AD2" s="1" t="s">
        <v>120</v>
      </c>
      <c r="AE2" s="1" t="s">
        <v>120</v>
      </c>
      <c r="AF2" t="s">
        <v>117</v>
      </c>
      <c r="AG2" t="s">
        <v>117</v>
      </c>
    </row>
    <row r="3" spans="1:36" x14ac:dyDescent="0.25">
      <c r="A3">
        <v>1</v>
      </c>
      <c r="B3">
        <v>0</v>
      </c>
      <c r="C3" t="s">
        <v>112</v>
      </c>
      <c r="D3" t="s">
        <v>113</v>
      </c>
      <c r="E3" t="s">
        <v>77</v>
      </c>
      <c r="F3" t="s">
        <v>78</v>
      </c>
      <c r="G3" t="s">
        <v>114</v>
      </c>
      <c r="H3">
        <v>1</v>
      </c>
      <c r="I3">
        <v>0</v>
      </c>
      <c r="J3">
        <v>0</v>
      </c>
      <c r="K3">
        <v>2</v>
      </c>
      <c r="L3" t="s">
        <v>121</v>
      </c>
      <c r="M3" t="s">
        <v>122</v>
      </c>
      <c r="N3" t="s">
        <v>123</v>
      </c>
      <c r="O3" t="s">
        <v>124</v>
      </c>
      <c r="P3" t="s">
        <v>125</v>
      </c>
      <c r="Q3" t="b">
        <v>0</v>
      </c>
      <c r="R3">
        <v>0.69216599999999995</v>
      </c>
      <c r="S3">
        <v>7.2229999999999999</v>
      </c>
      <c r="T3">
        <v>4.7110000000000003</v>
      </c>
      <c r="U3">
        <v>0</v>
      </c>
      <c r="V3">
        <v>16</v>
      </c>
      <c r="W3">
        <v>16</v>
      </c>
      <c r="X3">
        <v>0.40618900000000002</v>
      </c>
      <c r="Y3" t="b">
        <v>0</v>
      </c>
      <c r="Z3" t="b">
        <v>0</v>
      </c>
      <c r="AA3" t="b">
        <v>0</v>
      </c>
      <c r="AB3" t="b">
        <v>0</v>
      </c>
      <c r="AC3" t="s">
        <v>126</v>
      </c>
      <c r="AD3" s="1" t="s">
        <v>127</v>
      </c>
      <c r="AE3" s="1" t="s">
        <v>127</v>
      </c>
      <c r="AF3" t="s">
        <v>123</v>
      </c>
      <c r="AG3" t="s">
        <v>125</v>
      </c>
    </row>
    <row r="4" spans="1:36" x14ac:dyDescent="0.25">
      <c r="A4">
        <v>1</v>
      </c>
      <c r="B4">
        <v>0</v>
      </c>
      <c r="C4" t="s">
        <v>112</v>
      </c>
      <c r="D4" t="s">
        <v>113</v>
      </c>
      <c r="E4" t="s">
        <v>77</v>
      </c>
      <c r="F4" t="s">
        <v>78</v>
      </c>
      <c r="G4" t="s">
        <v>114</v>
      </c>
      <c r="H4">
        <v>1</v>
      </c>
      <c r="I4">
        <v>0</v>
      </c>
      <c r="J4">
        <v>0</v>
      </c>
      <c r="K4">
        <v>3</v>
      </c>
      <c r="L4" t="s">
        <v>128</v>
      </c>
      <c r="M4" t="s">
        <v>129</v>
      </c>
      <c r="N4" t="s">
        <v>117</v>
      </c>
      <c r="O4" t="s">
        <v>130</v>
      </c>
      <c r="P4" t="s">
        <v>131</v>
      </c>
      <c r="Q4" t="b">
        <v>0</v>
      </c>
      <c r="R4">
        <v>0.69804900000000003</v>
      </c>
      <c r="S4">
        <v>4.9009999999999998</v>
      </c>
      <c r="T4">
        <v>2.5169999999999999</v>
      </c>
      <c r="U4">
        <v>0</v>
      </c>
      <c r="V4">
        <v>17</v>
      </c>
      <c r="W4">
        <v>17</v>
      </c>
      <c r="X4">
        <v>0.42299700000000001</v>
      </c>
      <c r="Y4" t="b">
        <v>0</v>
      </c>
      <c r="Z4" t="b">
        <v>0</v>
      </c>
      <c r="AA4" t="b">
        <v>0</v>
      </c>
      <c r="AB4" t="b">
        <v>0</v>
      </c>
      <c r="AC4" t="s">
        <v>132</v>
      </c>
      <c r="AD4" s="1" t="s">
        <v>133</v>
      </c>
      <c r="AE4" s="1" t="s">
        <v>133</v>
      </c>
      <c r="AF4" t="s">
        <v>117</v>
      </c>
      <c r="AG4" t="s">
        <v>131</v>
      </c>
    </row>
    <row r="5" spans="1:36" x14ac:dyDescent="0.25">
      <c r="A5">
        <v>1</v>
      </c>
      <c r="B5">
        <v>0</v>
      </c>
      <c r="C5" t="s">
        <v>112</v>
      </c>
      <c r="D5" t="s">
        <v>113</v>
      </c>
      <c r="E5" t="s">
        <v>77</v>
      </c>
      <c r="F5" t="s">
        <v>78</v>
      </c>
      <c r="G5" t="s">
        <v>114</v>
      </c>
      <c r="H5">
        <v>1</v>
      </c>
      <c r="I5">
        <v>0</v>
      </c>
      <c r="J5">
        <v>0</v>
      </c>
      <c r="K5">
        <v>4</v>
      </c>
      <c r="L5" t="s">
        <v>134</v>
      </c>
      <c r="M5" t="s">
        <v>135</v>
      </c>
      <c r="N5" t="s">
        <v>117</v>
      </c>
      <c r="O5" t="s">
        <v>136</v>
      </c>
      <c r="P5" t="s">
        <v>125</v>
      </c>
      <c r="Q5" t="b">
        <v>0</v>
      </c>
      <c r="R5">
        <v>0.71429900000000002</v>
      </c>
      <c r="S5">
        <v>4.085</v>
      </c>
      <c r="T5">
        <v>2.4079999999999999</v>
      </c>
      <c r="U5">
        <v>0</v>
      </c>
      <c r="V5">
        <v>22</v>
      </c>
      <c r="W5">
        <v>20</v>
      </c>
      <c r="X5">
        <v>0.46942499999999998</v>
      </c>
      <c r="Y5" t="b">
        <v>0</v>
      </c>
      <c r="Z5" t="b">
        <v>0</v>
      </c>
      <c r="AA5" t="b">
        <v>0</v>
      </c>
      <c r="AB5" t="b">
        <v>0</v>
      </c>
      <c r="AC5" t="s">
        <v>137</v>
      </c>
      <c r="AD5" s="1" t="s">
        <v>138</v>
      </c>
      <c r="AE5" s="1" t="s">
        <v>138</v>
      </c>
      <c r="AF5" t="s">
        <v>117</v>
      </c>
      <c r="AG5" t="s">
        <v>125</v>
      </c>
    </row>
    <row r="6" spans="1:36" x14ac:dyDescent="0.25">
      <c r="A6">
        <v>1</v>
      </c>
      <c r="B6">
        <v>0</v>
      </c>
      <c r="C6" t="s">
        <v>112</v>
      </c>
      <c r="D6" t="s">
        <v>113</v>
      </c>
      <c r="E6" t="s">
        <v>77</v>
      </c>
      <c r="F6" t="s">
        <v>78</v>
      </c>
      <c r="G6" t="s">
        <v>114</v>
      </c>
      <c r="H6">
        <v>1</v>
      </c>
      <c r="I6">
        <v>0</v>
      </c>
      <c r="J6">
        <v>0</v>
      </c>
      <c r="K6">
        <v>5</v>
      </c>
      <c r="L6" t="s">
        <v>139</v>
      </c>
      <c r="M6" t="s">
        <v>140</v>
      </c>
      <c r="N6" t="s">
        <v>141</v>
      </c>
      <c r="O6" t="s">
        <v>142</v>
      </c>
      <c r="P6" t="s">
        <v>143</v>
      </c>
      <c r="Q6" t="b">
        <v>0</v>
      </c>
      <c r="R6">
        <v>0.71303499999999997</v>
      </c>
      <c r="S6">
        <v>6.8220000000000001</v>
      </c>
      <c r="T6">
        <v>2.2799999999999998</v>
      </c>
      <c r="U6">
        <v>0</v>
      </c>
      <c r="V6">
        <v>19</v>
      </c>
      <c r="W6">
        <v>19</v>
      </c>
      <c r="X6">
        <v>0.46581400000000001</v>
      </c>
      <c r="Y6" t="b">
        <v>0</v>
      </c>
      <c r="Z6" t="b">
        <v>0</v>
      </c>
      <c r="AA6" t="b">
        <v>0</v>
      </c>
      <c r="AB6" t="b">
        <v>0</v>
      </c>
      <c r="AC6" t="s">
        <v>144</v>
      </c>
      <c r="AD6" s="1" t="s">
        <v>145</v>
      </c>
      <c r="AE6" s="1" t="s">
        <v>145</v>
      </c>
      <c r="AF6" t="s">
        <v>141</v>
      </c>
      <c r="AG6" t="s">
        <v>143</v>
      </c>
    </row>
    <row r="7" spans="1:36" x14ac:dyDescent="0.25">
      <c r="A7">
        <v>1</v>
      </c>
      <c r="B7">
        <v>0</v>
      </c>
      <c r="C7" t="s">
        <v>112</v>
      </c>
      <c r="D7" t="s">
        <v>113</v>
      </c>
      <c r="E7" t="s">
        <v>77</v>
      </c>
      <c r="F7" t="s">
        <v>78</v>
      </c>
      <c r="G7" t="s">
        <v>114</v>
      </c>
      <c r="H7">
        <v>1</v>
      </c>
      <c r="I7">
        <v>0</v>
      </c>
      <c r="J7">
        <v>0</v>
      </c>
      <c r="K7">
        <v>6</v>
      </c>
      <c r="L7" t="s">
        <v>146</v>
      </c>
      <c r="M7" t="s">
        <v>147</v>
      </c>
      <c r="N7" t="s">
        <v>141</v>
      </c>
      <c r="O7" t="s">
        <v>148</v>
      </c>
      <c r="P7" t="s">
        <v>123</v>
      </c>
      <c r="Q7" t="b">
        <v>0</v>
      </c>
      <c r="R7">
        <v>0.73108700000000004</v>
      </c>
      <c r="S7">
        <v>6.7279999999999998</v>
      </c>
      <c r="T7">
        <v>2.5779999999999998</v>
      </c>
      <c r="U7">
        <v>0</v>
      </c>
      <c r="V7">
        <v>27</v>
      </c>
      <c r="W7">
        <v>20</v>
      </c>
      <c r="X7">
        <v>0.51739100000000005</v>
      </c>
      <c r="Y7" t="b">
        <v>0</v>
      </c>
      <c r="Z7" t="b">
        <v>0</v>
      </c>
      <c r="AA7" t="b">
        <v>0</v>
      </c>
      <c r="AB7" t="b">
        <v>0</v>
      </c>
      <c r="AC7" t="s">
        <v>149</v>
      </c>
      <c r="AD7" s="1" t="s">
        <v>150</v>
      </c>
      <c r="AE7" s="1" t="s">
        <v>150</v>
      </c>
      <c r="AF7" t="s">
        <v>141</v>
      </c>
      <c r="AG7" t="s">
        <v>123</v>
      </c>
    </row>
    <row r="8" spans="1:36" x14ac:dyDescent="0.25">
      <c r="A8">
        <v>1</v>
      </c>
      <c r="B8">
        <v>0</v>
      </c>
      <c r="C8" t="s">
        <v>112</v>
      </c>
      <c r="D8" t="s">
        <v>113</v>
      </c>
      <c r="E8" t="s">
        <v>77</v>
      </c>
      <c r="F8" t="s">
        <v>78</v>
      </c>
      <c r="G8" t="s">
        <v>114</v>
      </c>
      <c r="H8">
        <v>1</v>
      </c>
      <c r="I8">
        <v>0</v>
      </c>
      <c r="J8">
        <v>0</v>
      </c>
      <c r="K8">
        <v>7</v>
      </c>
      <c r="L8" t="s">
        <v>151</v>
      </c>
      <c r="M8" t="s">
        <v>152</v>
      </c>
      <c r="N8" t="s">
        <v>117</v>
      </c>
      <c r="O8" t="s">
        <v>153</v>
      </c>
      <c r="P8" t="s">
        <v>154</v>
      </c>
      <c r="Q8" t="b">
        <v>0</v>
      </c>
      <c r="R8">
        <v>0.73836500000000005</v>
      </c>
      <c r="S8">
        <v>5.585</v>
      </c>
      <c r="T8">
        <v>2.2909999999999999</v>
      </c>
      <c r="U8">
        <v>0</v>
      </c>
      <c r="V8">
        <v>30</v>
      </c>
      <c r="W8">
        <v>20</v>
      </c>
      <c r="X8">
        <v>0.53818699999999997</v>
      </c>
      <c r="Y8" t="b">
        <v>0</v>
      </c>
      <c r="Z8" t="b">
        <v>0</v>
      </c>
      <c r="AA8" t="b">
        <v>0</v>
      </c>
      <c r="AB8" t="b">
        <v>0</v>
      </c>
      <c r="AC8" t="s">
        <v>155</v>
      </c>
      <c r="AD8" s="1" t="s">
        <v>156</v>
      </c>
      <c r="AE8" s="1" t="s">
        <v>156</v>
      </c>
      <c r="AF8" t="s">
        <v>117</v>
      </c>
      <c r="AG8" t="s">
        <v>154</v>
      </c>
    </row>
    <row r="9" spans="1:36" x14ac:dyDescent="0.25">
      <c r="A9">
        <v>1</v>
      </c>
      <c r="B9">
        <v>0</v>
      </c>
      <c r="C9" t="s">
        <v>112</v>
      </c>
      <c r="D9" t="s">
        <v>113</v>
      </c>
      <c r="E9" t="s">
        <v>77</v>
      </c>
      <c r="F9" t="s">
        <v>78</v>
      </c>
      <c r="G9" t="s">
        <v>114</v>
      </c>
      <c r="H9">
        <v>1</v>
      </c>
      <c r="I9">
        <v>0</v>
      </c>
      <c r="J9">
        <v>0</v>
      </c>
      <c r="K9">
        <v>8</v>
      </c>
      <c r="L9" t="s">
        <v>157</v>
      </c>
      <c r="M9" t="s">
        <v>158</v>
      </c>
      <c r="N9" t="s">
        <v>159</v>
      </c>
      <c r="O9" t="s">
        <v>160</v>
      </c>
      <c r="P9" t="s">
        <v>161</v>
      </c>
      <c r="Q9" t="b">
        <v>0</v>
      </c>
      <c r="R9">
        <v>0.72504800000000003</v>
      </c>
      <c r="S9">
        <v>5.6029999999999998</v>
      </c>
      <c r="T9">
        <v>2.2589999999999999</v>
      </c>
      <c r="U9">
        <v>0</v>
      </c>
      <c r="V9">
        <v>10</v>
      </c>
      <c r="W9">
        <v>10</v>
      </c>
      <c r="X9">
        <v>0.500139</v>
      </c>
      <c r="Y9" t="b">
        <v>0</v>
      </c>
      <c r="Z9" t="b">
        <v>0</v>
      </c>
      <c r="AA9" t="b">
        <v>0</v>
      </c>
      <c r="AB9" t="b">
        <v>0</v>
      </c>
      <c r="AC9" t="s">
        <v>162</v>
      </c>
      <c r="AD9" s="1" t="s">
        <v>163</v>
      </c>
      <c r="AE9" s="1" t="s">
        <v>163</v>
      </c>
      <c r="AF9" t="s">
        <v>159</v>
      </c>
      <c r="AG9" t="s">
        <v>161</v>
      </c>
    </row>
    <row r="10" spans="1:36" x14ac:dyDescent="0.25">
      <c r="A10">
        <v>1</v>
      </c>
      <c r="B10">
        <v>0</v>
      </c>
      <c r="C10" t="s">
        <v>112</v>
      </c>
      <c r="D10" t="s">
        <v>113</v>
      </c>
      <c r="E10" t="s">
        <v>77</v>
      </c>
      <c r="F10" t="s">
        <v>78</v>
      </c>
      <c r="G10" t="s">
        <v>114</v>
      </c>
      <c r="H10">
        <v>1</v>
      </c>
      <c r="I10">
        <v>0</v>
      </c>
      <c r="J10">
        <v>0</v>
      </c>
      <c r="K10">
        <v>9</v>
      </c>
      <c r="L10" t="s">
        <v>164</v>
      </c>
      <c r="M10" t="s">
        <v>165</v>
      </c>
      <c r="N10" t="s">
        <v>117</v>
      </c>
      <c r="O10" t="s">
        <v>166</v>
      </c>
      <c r="P10" t="s">
        <v>161</v>
      </c>
      <c r="Q10" t="b">
        <v>0</v>
      </c>
      <c r="R10">
        <v>0.69419299999999995</v>
      </c>
      <c r="S10">
        <v>5.2190000000000003</v>
      </c>
      <c r="T10">
        <v>2.3759999999999999</v>
      </c>
      <c r="U10">
        <v>0</v>
      </c>
      <c r="V10">
        <v>12</v>
      </c>
      <c r="W10">
        <v>12</v>
      </c>
      <c r="X10">
        <v>0.41197899999999998</v>
      </c>
      <c r="Y10" t="b">
        <v>0</v>
      </c>
      <c r="Z10" t="b">
        <v>0</v>
      </c>
      <c r="AA10" t="b">
        <v>0</v>
      </c>
      <c r="AB10" t="b">
        <v>0</v>
      </c>
      <c r="AC10" t="s">
        <v>167</v>
      </c>
      <c r="AD10" s="1" t="s">
        <v>168</v>
      </c>
      <c r="AE10" s="1" t="s">
        <v>168</v>
      </c>
      <c r="AF10" t="s">
        <v>117</v>
      </c>
      <c r="AG10" t="s">
        <v>161</v>
      </c>
    </row>
    <row r="11" spans="1:36" x14ac:dyDescent="0.25">
      <c r="A11">
        <v>1</v>
      </c>
      <c r="B11">
        <v>0</v>
      </c>
      <c r="C11" t="s">
        <v>112</v>
      </c>
      <c r="D11" t="s">
        <v>113</v>
      </c>
      <c r="E11" t="s">
        <v>77</v>
      </c>
      <c r="F11" t="s">
        <v>78</v>
      </c>
      <c r="G11" t="s">
        <v>114</v>
      </c>
      <c r="H11">
        <v>1</v>
      </c>
      <c r="I11">
        <v>0</v>
      </c>
      <c r="J11">
        <v>0</v>
      </c>
      <c r="K11">
        <v>10</v>
      </c>
      <c r="L11" t="s">
        <v>169</v>
      </c>
      <c r="M11" t="s">
        <v>170</v>
      </c>
      <c r="N11" t="s">
        <v>117</v>
      </c>
      <c r="O11" t="s">
        <v>171</v>
      </c>
      <c r="P11" t="s">
        <v>161</v>
      </c>
      <c r="Q11" t="b">
        <v>0</v>
      </c>
      <c r="R11">
        <v>0.71037799999999995</v>
      </c>
      <c r="S11">
        <v>4.2430000000000003</v>
      </c>
      <c r="T11">
        <v>2.4940000000000002</v>
      </c>
      <c r="U11">
        <v>0</v>
      </c>
      <c r="V11">
        <v>23</v>
      </c>
      <c r="W11">
        <v>20</v>
      </c>
      <c r="X11">
        <v>0.45822299999999999</v>
      </c>
      <c r="Y11" t="b">
        <v>0</v>
      </c>
      <c r="Z11" t="b">
        <v>0</v>
      </c>
      <c r="AA11" t="b">
        <v>0</v>
      </c>
      <c r="AB11" t="b">
        <v>0</v>
      </c>
      <c r="AC11" t="s">
        <v>172</v>
      </c>
      <c r="AD11" s="1" t="s">
        <v>173</v>
      </c>
      <c r="AE11" s="1" t="s">
        <v>173</v>
      </c>
      <c r="AF11" t="s">
        <v>117</v>
      </c>
      <c r="AG11" t="s">
        <v>161</v>
      </c>
    </row>
    <row r="12" spans="1:36" x14ac:dyDescent="0.25">
      <c r="A12">
        <v>2</v>
      </c>
      <c r="B12">
        <v>0</v>
      </c>
      <c r="C12" t="s">
        <v>112</v>
      </c>
      <c r="D12" t="s">
        <v>113</v>
      </c>
      <c r="E12" t="s">
        <v>77</v>
      </c>
      <c r="F12" t="s">
        <v>78</v>
      </c>
      <c r="G12" t="s">
        <v>114</v>
      </c>
      <c r="H12">
        <v>1</v>
      </c>
      <c r="I12">
        <v>0</v>
      </c>
      <c r="J12">
        <v>0</v>
      </c>
      <c r="K12">
        <v>1</v>
      </c>
      <c r="L12" t="s">
        <v>115</v>
      </c>
      <c r="M12" t="s">
        <v>116</v>
      </c>
      <c r="N12" t="s">
        <v>117</v>
      </c>
      <c r="O12" t="s">
        <v>118</v>
      </c>
      <c r="P12" t="s">
        <v>117</v>
      </c>
      <c r="Q12" t="b">
        <v>1</v>
      </c>
      <c r="R12">
        <v>0.73776299999999995</v>
      </c>
      <c r="S12">
        <v>4.34</v>
      </c>
      <c r="T12">
        <v>2.1480000000000001</v>
      </c>
      <c r="U12">
        <v>0</v>
      </c>
      <c r="V12">
        <v>27</v>
      </c>
      <c r="W12">
        <v>20</v>
      </c>
      <c r="X12">
        <v>0.53646499999999997</v>
      </c>
      <c r="Y12" t="b">
        <v>0</v>
      </c>
      <c r="Z12" t="b">
        <v>0</v>
      </c>
      <c r="AA12" t="b">
        <v>0</v>
      </c>
      <c r="AB12" t="b">
        <v>0</v>
      </c>
      <c r="AC12" t="s">
        <v>119</v>
      </c>
      <c r="AD12" s="1" t="s">
        <v>174</v>
      </c>
      <c r="AE12" s="1" t="s">
        <v>174</v>
      </c>
      <c r="AF12" t="s">
        <v>117</v>
      </c>
      <c r="AG12" t="s">
        <v>117</v>
      </c>
    </row>
    <row r="13" spans="1:36" x14ac:dyDescent="0.25">
      <c r="A13">
        <v>2</v>
      </c>
      <c r="B13">
        <v>0</v>
      </c>
      <c r="C13" t="s">
        <v>112</v>
      </c>
      <c r="D13" t="s">
        <v>113</v>
      </c>
      <c r="E13" t="s">
        <v>77</v>
      </c>
      <c r="F13" t="s">
        <v>78</v>
      </c>
      <c r="G13" t="s">
        <v>114</v>
      </c>
      <c r="H13">
        <v>1</v>
      </c>
      <c r="I13">
        <v>0</v>
      </c>
      <c r="J13">
        <v>0</v>
      </c>
      <c r="K13">
        <v>2</v>
      </c>
      <c r="L13" t="s">
        <v>121</v>
      </c>
      <c r="M13" t="s">
        <v>122</v>
      </c>
      <c r="N13" t="s">
        <v>123</v>
      </c>
      <c r="O13" t="s">
        <v>124</v>
      </c>
      <c r="P13" t="s">
        <v>125</v>
      </c>
      <c r="Q13" t="b">
        <v>0</v>
      </c>
      <c r="R13">
        <v>0.69217200000000001</v>
      </c>
      <c r="S13">
        <v>4.4889999999999999</v>
      </c>
      <c r="T13">
        <v>2.2629999999999999</v>
      </c>
      <c r="U13">
        <v>0</v>
      </c>
      <c r="V13">
        <v>16</v>
      </c>
      <c r="W13">
        <v>16</v>
      </c>
      <c r="X13">
        <v>0.40620699999999998</v>
      </c>
      <c r="Y13" t="b">
        <v>0</v>
      </c>
      <c r="Z13" t="b">
        <v>0</v>
      </c>
      <c r="AA13" t="b">
        <v>0</v>
      </c>
      <c r="AB13" t="b">
        <v>0</v>
      </c>
      <c r="AC13" t="s">
        <v>126</v>
      </c>
      <c r="AD13" s="1" t="s">
        <v>175</v>
      </c>
      <c r="AE13" s="1" t="s">
        <v>175</v>
      </c>
      <c r="AF13" t="s">
        <v>123</v>
      </c>
      <c r="AG13" t="s">
        <v>125</v>
      </c>
    </row>
    <row r="14" spans="1:36" x14ac:dyDescent="0.25">
      <c r="A14">
        <v>2</v>
      </c>
      <c r="B14">
        <v>0</v>
      </c>
      <c r="C14" t="s">
        <v>112</v>
      </c>
      <c r="D14" t="s">
        <v>113</v>
      </c>
      <c r="E14" t="s">
        <v>77</v>
      </c>
      <c r="F14" t="s">
        <v>78</v>
      </c>
      <c r="G14" t="s">
        <v>114</v>
      </c>
      <c r="H14">
        <v>1</v>
      </c>
      <c r="I14">
        <v>0</v>
      </c>
      <c r="J14">
        <v>0</v>
      </c>
      <c r="K14">
        <v>3</v>
      </c>
      <c r="L14" t="s">
        <v>128</v>
      </c>
      <c r="M14" t="s">
        <v>129</v>
      </c>
      <c r="N14" t="s">
        <v>117</v>
      </c>
      <c r="O14" t="s">
        <v>130</v>
      </c>
      <c r="P14" t="s">
        <v>131</v>
      </c>
      <c r="Q14" t="b">
        <v>0</v>
      </c>
      <c r="R14">
        <v>0.69804299999999997</v>
      </c>
      <c r="S14">
        <v>4.6619999999999999</v>
      </c>
      <c r="T14">
        <v>2.2709999999999999</v>
      </c>
      <c r="U14">
        <v>0</v>
      </c>
      <c r="V14">
        <v>17</v>
      </c>
      <c r="W14">
        <v>17</v>
      </c>
      <c r="X14">
        <v>0.422981</v>
      </c>
      <c r="Y14" t="b">
        <v>0</v>
      </c>
      <c r="Z14" t="b">
        <v>0</v>
      </c>
      <c r="AA14" t="b">
        <v>0</v>
      </c>
      <c r="AB14" t="b">
        <v>0</v>
      </c>
      <c r="AC14" t="s">
        <v>132</v>
      </c>
      <c r="AD14" s="1" t="s">
        <v>176</v>
      </c>
      <c r="AE14" s="1" t="s">
        <v>176</v>
      </c>
      <c r="AF14" t="s">
        <v>117</v>
      </c>
      <c r="AG14" t="s">
        <v>131</v>
      </c>
    </row>
    <row r="15" spans="1:36" x14ac:dyDescent="0.25">
      <c r="A15">
        <v>2</v>
      </c>
      <c r="B15">
        <v>0</v>
      </c>
      <c r="C15" t="s">
        <v>112</v>
      </c>
      <c r="D15" t="s">
        <v>113</v>
      </c>
      <c r="E15" t="s">
        <v>77</v>
      </c>
      <c r="F15" t="s">
        <v>78</v>
      </c>
      <c r="G15" t="s">
        <v>114</v>
      </c>
      <c r="H15">
        <v>1</v>
      </c>
      <c r="I15">
        <v>0</v>
      </c>
      <c r="J15">
        <v>0</v>
      </c>
      <c r="K15">
        <v>4</v>
      </c>
      <c r="L15" t="s">
        <v>134</v>
      </c>
      <c r="M15" t="s">
        <v>135</v>
      </c>
      <c r="N15" t="s">
        <v>117</v>
      </c>
      <c r="O15" t="s">
        <v>136</v>
      </c>
      <c r="P15" t="s">
        <v>125</v>
      </c>
      <c r="Q15" t="b">
        <v>0</v>
      </c>
      <c r="R15">
        <v>0.71429699999999996</v>
      </c>
      <c r="S15">
        <v>4.0330000000000004</v>
      </c>
      <c r="T15">
        <v>2.5310000000000001</v>
      </c>
      <c r="U15">
        <v>0</v>
      </c>
      <c r="V15">
        <v>22</v>
      </c>
      <c r="W15">
        <v>20</v>
      </c>
      <c r="X15">
        <v>0.46941899999999998</v>
      </c>
      <c r="Y15" t="b">
        <v>0</v>
      </c>
      <c r="Z15" t="b">
        <v>0</v>
      </c>
      <c r="AA15" t="b">
        <v>0</v>
      </c>
      <c r="AB15" t="b">
        <v>0</v>
      </c>
      <c r="AC15" t="s">
        <v>137</v>
      </c>
      <c r="AD15" s="1" t="s">
        <v>138</v>
      </c>
      <c r="AE15" s="1" t="s">
        <v>138</v>
      </c>
      <c r="AF15" t="s">
        <v>117</v>
      </c>
      <c r="AG15" t="s">
        <v>125</v>
      </c>
    </row>
    <row r="16" spans="1:36" x14ac:dyDescent="0.25">
      <c r="A16">
        <v>2</v>
      </c>
      <c r="B16">
        <v>0</v>
      </c>
      <c r="C16" t="s">
        <v>112</v>
      </c>
      <c r="D16" t="s">
        <v>113</v>
      </c>
      <c r="E16" t="s">
        <v>77</v>
      </c>
      <c r="F16" t="s">
        <v>78</v>
      </c>
      <c r="G16" t="s">
        <v>114</v>
      </c>
      <c r="H16">
        <v>1</v>
      </c>
      <c r="I16">
        <v>0</v>
      </c>
      <c r="J16">
        <v>0</v>
      </c>
      <c r="K16">
        <v>5</v>
      </c>
      <c r="L16" t="s">
        <v>139</v>
      </c>
      <c r="M16" t="s">
        <v>140</v>
      </c>
      <c r="N16" t="s">
        <v>141</v>
      </c>
      <c r="O16" t="s">
        <v>142</v>
      </c>
      <c r="P16" t="s">
        <v>143</v>
      </c>
      <c r="Q16" t="b">
        <v>0</v>
      </c>
      <c r="R16">
        <v>0.71303499999999997</v>
      </c>
      <c r="S16">
        <v>7.5449999999999999</v>
      </c>
      <c r="T16">
        <v>2.9409999999999998</v>
      </c>
      <c r="U16">
        <v>0</v>
      </c>
      <c r="V16">
        <v>19</v>
      </c>
      <c r="W16">
        <v>19</v>
      </c>
      <c r="X16">
        <v>0.46581499999999998</v>
      </c>
      <c r="Y16" t="b">
        <v>0</v>
      </c>
      <c r="Z16" t="b">
        <v>0</v>
      </c>
      <c r="AA16" t="b">
        <v>0</v>
      </c>
      <c r="AB16" t="b">
        <v>0</v>
      </c>
      <c r="AC16" t="s">
        <v>144</v>
      </c>
      <c r="AD16" s="1" t="s">
        <v>177</v>
      </c>
      <c r="AE16" s="1" t="s">
        <v>177</v>
      </c>
      <c r="AF16" t="s">
        <v>141</v>
      </c>
      <c r="AG16" t="s">
        <v>143</v>
      </c>
    </row>
    <row r="17" spans="1:33" x14ac:dyDescent="0.25">
      <c r="A17">
        <v>2</v>
      </c>
      <c r="B17">
        <v>0</v>
      </c>
      <c r="C17" t="s">
        <v>112</v>
      </c>
      <c r="D17" t="s">
        <v>113</v>
      </c>
      <c r="E17" t="s">
        <v>77</v>
      </c>
      <c r="F17" t="s">
        <v>78</v>
      </c>
      <c r="G17" t="s">
        <v>114</v>
      </c>
      <c r="H17">
        <v>1</v>
      </c>
      <c r="I17">
        <v>0</v>
      </c>
      <c r="J17">
        <v>0</v>
      </c>
      <c r="K17">
        <v>6</v>
      </c>
      <c r="L17" t="s">
        <v>146</v>
      </c>
      <c r="M17" t="s">
        <v>147</v>
      </c>
      <c r="N17" t="s">
        <v>141</v>
      </c>
      <c r="O17" t="s">
        <v>148</v>
      </c>
      <c r="P17" t="s">
        <v>123</v>
      </c>
      <c r="Q17" t="b">
        <v>0</v>
      </c>
      <c r="R17">
        <v>0.73112100000000002</v>
      </c>
      <c r="S17">
        <v>5.2190000000000003</v>
      </c>
      <c r="T17">
        <v>2.3759999999999999</v>
      </c>
      <c r="U17">
        <v>0</v>
      </c>
      <c r="V17">
        <v>27</v>
      </c>
      <c r="W17">
        <v>20</v>
      </c>
      <c r="X17">
        <v>0.51748899999999998</v>
      </c>
      <c r="Y17" t="b">
        <v>0</v>
      </c>
      <c r="Z17" t="b">
        <v>0</v>
      </c>
      <c r="AA17" t="b">
        <v>0</v>
      </c>
      <c r="AB17" t="b">
        <v>0</v>
      </c>
      <c r="AC17" t="s">
        <v>149</v>
      </c>
      <c r="AD17" s="1" t="s">
        <v>178</v>
      </c>
      <c r="AE17" s="1" t="s">
        <v>178</v>
      </c>
      <c r="AF17" t="s">
        <v>141</v>
      </c>
      <c r="AG17" t="s">
        <v>123</v>
      </c>
    </row>
    <row r="18" spans="1:33" x14ac:dyDescent="0.25">
      <c r="A18">
        <v>2</v>
      </c>
      <c r="B18">
        <v>0</v>
      </c>
      <c r="C18" t="s">
        <v>112</v>
      </c>
      <c r="D18" t="s">
        <v>113</v>
      </c>
      <c r="E18" t="s">
        <v>77</v>
      </c>
      <c r="F18" t="s">
        <v>78</v>
      </c>
      <c r="G18" t="s">
        <v>114</v>
      </c>
      <c r="H18">
        <v>1</v>
      </c>
      <c r="I18">
        <v>0</v>
      </c>
      <c r="J18">
        <v>0</v>
      </c>
      <c r="K18">
        <v>7</v>
      </c>
      <c r="L18" t="s">
        <v>151</v>
      </c>
      <c r="M18" t="s">
        <v>152</v>
      </c>
      <c r="N18" t="s">
        <v>117</v>
      </c>
      <c r="O18" t="s">
        <v>153</v>
      </c>
      <c r="P18" t="s">
        <v>154</v>
      </c>
      <c r="Q18" t="b">
        <v>0</v>
      </c>
      <c r="R18">
        <v>0.73836500000000005</v>
      </c>
      <c r="S18">
        <v>5.61</v>
      </c>
      <c r="T18">
        <v>2.5089999999999999</v>
      </c>
      <c r="U18">
        <v>0</v>
      </c>
      <c r="V18">
        <v>30</v>
      </c>
      <c r="W18">
        <v>20</v>
      </c>
      <c r="X18">
        <v>0.53818699999999997</v>
      </c>
      <c r="Y18" t="b">
        <v>0</v>
      </c>
      <c r="Z18" t="b">
        <v>0</v>
      </c>
      <c r="AA18" t="b">
        <v>0</v>
      </c>
      <c r="AB18" t="b">
        <v>0</v>
      </c>
      <c r="AC18" t="s">
        <v>155</v>
      </c>
      <c r="AD18" s="1" t="s">
        <v>179</v>
      </c>
      <c r="AE18" s="1" t="s">
        <v>179</v>
      </c>
      <c r="AF18" t="s">
        <v>117</v>
      </c>
      <c r="AG18" t="s">
        <v>154</v>
      </c>
    </row>
    <row r="19" spans="1:33" x14ac:dyDescent="0.25">
      <c r="A19">
        <v>2</v>
      </c>
      <c r="B19">
        <v>0</v>
      </c>
      <c r="C19" t="s">
        <v>112</v>
      </c>
      <c r="D19" t="s">
        <v>113</v>
      </c>
      <c r="E19" t="s">
        <v>77</v>
      </c>
      <c r="F19" t="s">
        <v>78</v>
      </c>
      <c r="G19" t="s">
        <v>114</v>
      </c>
      <c r="H19">
        <v>1</v>
      </c>
      <c r="I19">
        <v>0</v>
      </c>
      <c r="J19">
        <v>0</v>
      </c>
      <c r="K19">
        <v>8</v>
      </c>
      <c r="L19" t="s">
        <v>157</v>
      </c>
      <c r="M19" t="s">
        <v>158</v>
      </c>
      <c r="N19" t="s">
        <v>159</v>
      </c>
      <c r="O19" t="s">
        <v>160</v>
      </c>
      <c r="P19" t="s">
        <v>161</v>
      </c>
      <c r="Q19" t="b">
        <v>0</v>
      </c>
      <c r="R19">
        <v>0.72505200000000003</v>
      </c>
      <c r="S19">
        <v>5.0049999999999999</v>
      </c>
      <c r="T19">
        <v>2.456</v>
      </c>
      <c r="U19">
        <v>0</v>
      </c>
      <c r="V19">
        <v>10</v>
      </c>
      <c r="W19">
        <v>10</v>
      </c>
      <c r="X19">
        <v>0.50014800000000004</v>
      </c>
      <c r="Y19" t="b">
        <v>0</v>
      </c>
      <c r="Z19" t="b">
        <v>0</v>
      </c>
      <c r="AA19" t="b">
        <v>0</v>
      </c>
      <c r="AB19" t="b">
        <v>0</v>
      </c>
      <c r="AC19" t="s">
        <v>162</v>
      </c>
      <c r="AD19" s="1" t="s">
        <v>163</v>
      </c>
      <c r="AE19" s="1" t="s">
        <v>163</v>
      </c>
      <c r="AF19" t="s">
        <v>159</v>
      </c>
      <c r="AG19" t="s">
        <v>161</v>
      </c>
    </row>
    <row r="20" spans="1:33" x14ac:dyDescent="0.25">
      <c r="A20">
        <v>2</v>
      </c>
      <c r="B20">
        <v>0</v>
      </c>
      <c r="C20" t="s">
        <v>112</v>
      </c>
      <c r="D20" t="s">
        <v>113</v>
      </c>
      <c r="E20" t="s">
        <v>77</v>
      </c>
      <c r="F20" t="s">
        <v>78</v>
      </c>
      <c r="G20" t="s">
        <v>114</v>
      </c>
      <c r="H20">
        <v>1</v>
      </c>
      <c r="I20">
        <v>0</v>
      </c>
      <c r="J20">
        <v>0</v>
      </c>
      <c r="K20">
        <v>9</v>
      </c>
      <c r="L20" t="s">
        <v>164</v>
      </c>
      <c r="M20" t="s">
        <v>165</v>
      </c>
      <c r="N20" t="s">
        <v>117</v>
      </c>
      <c r="O20" t="s">
        <v>166</v>
      </c>
      <c r="P20" t="s">
        <v>161</v>
      </c>
      <c r="Q20" t="b">
        <v>0</v>
      </c>
      <c r="R20">
        <v>0.69419299999999995</v>
      </c>
      <c r="S20">
        <v>4.4470000000000001</v>
      </c>
      <c r="T20">
        <v>2.5339999999999998</v>
      </c>
      <c r="U20">
        <v>0</v>
      </c>
      <c r="V20">
        <v>12</v>
      </c>
      <c r="W20">
        <v>12</v>
      </c>
      <c r="X20">
        <v>0.41197899999999998</v>
      </c>
      <c r="Y20" t="b">
        <v>0</v>
      </c>
      <c r="Z20" t="b">
        <v>0</v>
      </c>
      <c r="AA20" t="b">
        <v>0</v>
      </c>
      <c r="AB20" t="b">
        <v>0</v>
      </c>
      <c r="AC20" t="s">
        <v>167</v>
      </c>
      <c r="AD20" s="1" t="s">
        <v>180</v>
      </c>
      <c r="AE20" s="1" t="s">
        <v>180</v>
      </c>
      <c r="AF20" t="s">
        <v>117</v>
      </c>
      <c r="AG20" t="s">
        <v>161</v>
      </c>
    </row>
    <row r="21" spans="1:33" x14ac:dyDescent="0.25">
      <c r="A21">
        <v>2</v>
      </c>
      <c r="B21">
        <v>0</v>
      </c>
      <c r="C21" t="s">
        <v>112</v>
      </c>
      <c r="D21" t="s">
        <v>113</v>
      </c>
      <c r="E21" t="s">
        <v>77</v>
      </c>
      <c r="F21" t="s">
        <v>78</v>
      </c>
      <c r="G21" t="s">
        <v>114</v>
      </c>
      <c r="H21">
        <v>1</v>
      </c>
      <c r="I21">
        <v>0</v>
      </c>
      <c r="J21">
        <v>0</v>
      </c>
      <c r="K21">
        <v>10</v>
      </c>
      <c r="L21" t="s">
        <v>169</v>
      </c>
      <c r="M21" t="s">
        <v>170</v>
      </c>
      <c r="N21" t="s">
        <v>117</v>
      </c>
      <c r="O21" t="s">
        <v>171</v>
      </c>
      <c r="P21" t="s">
        <v>161</v>
      </c>
      <c r="Q21" t="b">
        <v>0</v>
      </c>
      <c r="R21">
        <v>0.71037300000000003</v>
      </c>
      <c r="S21">
        <v>4.3099999999999996</v>
      </c>
      <c r="T21">
        <v>2.6219999999999999</v>
      </c>
      <c r="U21">
        <v>0</v>
      </c>
      <c r="V21">
        <v>23</v>
      </c>
      <c r="W21">
        <v>20</v>
      </c>
      <c r="X21">
        <v>0.45820899999999998</v>
      </c>
      <c r="Y21" t="b">
        <v>0</v>
      </c>
      <c r="Z21" t="b">
        <v>0</v>
      </c>
      <c r="AA21" t="b">
        <v>0</v>
      </c>
      <c r="AB21" t="b">
        <v>0</v>
      </c>
      <c r="AC21" t="s">
        <v>172</v>
      </c>
      <c r="AD21" s="1" t="s">
        <v>173</v>
      </c>
      <c r="AE21" s="1" t="s">
        <v>173</v>
      </c>
      <c r="AF21" t="s">
        <v>117</v>
      </c>
      <c r="AG21" t="s">
        <v>161</v>
      </c>
    </row>
    <row r="22" spans="1:33" x14ac:dyDescent="0.25">
      <c r="A22">
        <v>3</v>
      </c>
      <c r="B22">
        <v>0</v>
      </c>
      <c r="C22" t="s">
        <v>112</v>
      </c>
      <c r="D22" t="s">
        <v>113</v>
      </c>
      <c r="E22" t="s">
        <v>77</v>
      </c>
      <c r="F22" t="s">
        <v>78</v>
      </c>
      <c r="G22" t="s">
        <v>114</v>
      </c>
      <c r="H22">
        <v>1</v>
      </c>
      <c r="I22">
        <v>0</v>
      </c>
      <c r="J22">
        <v>0</v>
      </c>
      <c r="K22">
        <v>1</v>
      </c>
      <c r="L22" t="s">
        <v>115</v>
      </c>
      <c r="M22" t="s">
        <v>116</v>
      </c>
      <c r="N22" t="s">
        <v>117</v>
      </c>
      <c r="O22" t="s">
        <v>118</v>
      </c>
      <c r="P22" t="s">
        <v>117</v>
      </c>
      <c r="Q22" t="b">
        <v>1</v>
      </c>
      <c r="R22">
        <v>0.73776299999999995</v>
      </c>
      <c r="S22">
        <v>5.5259999999999998</v>
      </c>
      <c r="T22">
        <v>3.5390000000000001</v>
      </c>
      <c r="U22">
        <v>0</v>
      </c>
      <c r="V22">
        <v>27</v>
      </c>
      <c r="W22">
        <v>20</v>
      </c>
      <c r="X22">
        <v>0.53646499999999997</v>
      </c>
      <c r="Y22" t="b">
        <v>0</v>
      </c>
      <c r="Z22" t="b">
        <v>0</v>
      </c>
      <c r="AA22" t="b">
        <v>0</v>
      </c>
      <c r="AB22" t="b">
        <v>0</v>
      </c>
      <c r="AC22" t="s">
        <v>119</v>
      </c>
      <c r="AD22" s="1" t="s">
        <v>181</v>
      </c>
      <c r="AE22" s="1" t="s">
        <v>181</v>
      </c>
      <c r="AF22" t="s">
        <v>117</v>
      </c>
      <c r="AG22" t="s">
        <v>117</v>
      </c>
    </row>
    <row r="23" spans="1:33" x14ac:dyDescent="0.25">
      <c r="A23">
        <v>3</v>
      </c>
      <c r="B23">
        <v>0</v>
      </c>
      <c r="C23" t="s">
        <v>112</v>
      </c>
      <c r="D23" t="s">
        <v>113</v>
      </c>
      <c r="E23" t="s">
        <v>77</v>
      </c>
      <c r="F23" t="s">
        <v>78</v>
      </c>
      <c r="G23" t="s">
        <v>114</v>
      </c>
      <c r="H23">
        <v>1</v>
      </c>
      <c r="I23">
        <v>0</v>
      </c>
      <c r="J23">
        <v>0</v>
      </c>
      <c r="K23">
        <v>2</v>
      </c>
      <c r="L23" t="s">
        <v>121</v>
      </c>
      <c r="M23" t="s">
        <v>122</v>
      </c>
      <c r="N23" t="s">
        <v>123</v>
      </c>
      <c r="O23" t="s">
        <v>124</v>
      </c>
      <c r="P23" t="s">
        <v>125</v>
      </c>
      <c r="Q23" t="b">
        <v>0</v>
      </c>
      <c r="R23">
        <v>0.69216900000000003</v>
      </c>
      <c r="S23">
        <v>5.7919999999999998</v>
      </c>
      <c r="T23">
        <v>3.5750000000000002</v>
      </c>
      <c r="U23">
        <v>0</v>
      </c>
      <c r="V23">
        <v>16</v>
      </c>
      <c r="W23">
        <v>16</v>
      </c>
      <c r="X23">
        <v>0.406198</v>
      </c>
      <c r="Y23" t="b">
        <v>0</v>
      </c>
      <c r="Z23" t="b">
        <v>0</v>
      </c>
      <c r="AA23" t="b">
        <v>0</v>
      </c>
      <c r="AB23" t="b">
        <v>0</v>
      </c>
      <c r="AC23" t="s">
        <v>126</v>
      </c>
      <c r="AD23" s="1" t="s">
        <v>182</v>
      </c>
      <c r="AE23" s="1" t="s">
        <v>182</v>
      </c>
      <c r="AF23" t="s">
        <v>123</v>
      </c>
      <c r="AG23" t="s">
        <v>125</v>
      </c>
    </row>
    <row r="24" spans="1:33" x14ac:dyDescent="0.25">
      <c r="A24">
        <v>3</v>
      </c>
      <c r="B24">
        <v>0</v>
      </c>
      <c r="C24" t="s">
        <v>112</v>
      </c>
      <c r="D24" t="s">
        <v>113</v>
      </c>
      <c r="E24" t="s">
        <v>77</v>
      </c>
      <c r="F24" t="s">
        <v>78</v>
      </c>
      <c r="G24" t="s">
        <v>114</v>
      </c>
      <c r="H24">
        <v>1</v>
      </c>
      <c r="I24">
        <v>0</v>
      </c>
      <c r="J24">
        <v>0</v>
      </c>
      <c r="K24">
        <v>3</v>
      </c>
      <c r="L24" t="s">
        <v>128</v>
      </c>
      <c r="M24" t="s">
        <v>129</v>
      </c>
      <c r="N24" t="s">
        <v>117</v>
      </c>
      <c r="O24" t="s">
        <v>130</v>
      </c>
      <c r="P24" t="s">
        <v>131</v>
      </c>
      <c r="Q24" t="b">
        <v>0</v>
      </c>
      <c r="R24">
        <v>0.69804100000000002</v>
      </c>
      <c r="S24">
        <v>5.0519999999999996</v>
      </c>
      <c r="T24">
        <v>2.3959999999999999</v>
      </c>
      <c r="U24">
        <v>0</v>
      </c>
      <c r="V24">
        <v>17</v>
      </c>
      <c r="W24">
        <v>17</v>
      </c>
      <c r="X24">
        <v>0.42297499999999999</v>
      </c>
      <c r="Y24" t="b">
        <v>0</v>
      </c>
      <c r="Z24" t="b">
        <v>0</v>
      </c>
      <c r="AA24" t="b">
        <v>0</v>
      </c>
      <c r="AB24" t="b">
        <v>0</v>
      </c>
      <c r="AC24" t="s">
        <v>132</v>
      </c>
      <c r="AD24" s="1" t="s">
        <v>183</v>
      </c>
      <c r="AE24" s="1" t="s">
        <v>183</v>
      </c>
      <c r="AF24" t="s">
        <v>117</v>
      </c>
      <c r="AG24" t="s">
        <v>131</v>
      </c>
    </row>
    <row r="25" spans="1:33" x14ac:dyDescent="0.25">
      <c r="A25">
        <v>3</v>
      </c>
      <c r="B25">
        <v>0</v>
      </c>
      <c r="C25" t="s">
        <v>112</v>
      </c>
      <c r="D25" t="s">
        <v>113</v>
      </c>
      <c r="E25" t="s">
        <v>77</v>
      </c>
      <c r="F25" t="s">
        <v>78</v>
      </c>
      <c r="G25" t="s">
        <v>114</v>
      </c>
      <c r="H25">
        <v>1</v>
      </c>
      <c r="I25">
        <v>0</v>
      </c>
      <c r="J25">
        <v>0</v>
      </c>
      <c r="K25">
        <v>4</v>
      </c>
      <c r="L25" t="s">
        <v>134</v>
      </c>
      <c r="M25" t="s">
        <v>135</v>
      </c>
      <c r="N25" t="s">
        <v>117</v>
      </c>
      <c r="O25" t="s">
        <v>136</v>
      </c>
      <c r="P25" t="s">
        <v>125</v>
      </c>
      <c r="Q25" t="b">
        <v>0</v>
      </c>
      <c r="R25">
        <v>0.71429699999999996</v>
      </c>
      <c r="S25">
        <v>4.0659999999999998</v>
      </c>
      <c r="T25">
        <v>2.4580000000000002</v>
      </c>
      <c r="U25">
        <v>0</v>
      </c>
      <c r="V25">
        <v>22</v>
      </c>
      <c r="W25">
        <v>20</v>
      </c>
      <c r="X25">
        <v>0.46942099999999998</v>
      </c>
      <c r="Y25" t="b">
        <v>0</v>
      </c>
      <c r="Z25" t="b">
        <v>0</v>
      </c>
      <c r="AA25" t="b">
        <v>0</v>
      </c>
      <c r="AB25" t="b">
        <v>0</v>
      </c>
      <c r="AC25" t="s">
        <v>137</v>
      </c>
      <c r="AD25" s="1" t="s">
        <v>184</v>
      </c>
      <c r="AE25" s="1" t="s">
        <v>184</v>
      </c>
      <c r="AF25" t="s">
        <v>117</v>
      </c>
      <c r="AG25" t="s">
        <v>125</v>
      </c>
    </row>
    <row r="26" spans="1:33" x14ac:dyDescent="0.25">
      <c r="A26">
        <v>3</v>
      </c>
      <c r="B26">
        <v>0</v>
      </c>
      <c r="C26" t="s">
        <v>112</v>
      </c>
      <c r="D26" t="s">
        <v>113</v>
      </c>
      <c r="E26" t="s">
        <v>77</v>
      </c>
      <c r="F26" t="s">
        <v>78</v>
      </c>
      <c r="G26" t="s">
        <v>114</v>
      </c>
      <c r="H26">
        <v>1</v>
      </c>
      <c r="I26">
        <v>0</v>
      </c>
      <c r="J26">
        <v>0</v>
      </c>
      <c r="K26">
        <v>5</v>
      </c>
      <c r="L26" t="s">
        <v>139</v>
      </c>
      <c r="M26" t="s">
        <v>140</v>
      </c>
      <c r="N26" t="s">
        <v>141</v>
      </c>
      <c r="O26" t="s">
        <v>142</v>
      </c>
      <c r="P26" t="s">
        <v>143</v>
      </c>
      <c r="Q26" t="b">
        <v>0</v>
      </c>
      <c r="R26">
        <v>0.71303499999999997</v>
      </c>
      <c r="S26">
        <v>4.5129999999999999</v>
      </c>
      <c r="T26">
        <v>2.4289999999999998</v>
      </c>
      <c r="U26">
        <v>0</v>
      </c>
      <c r="V26">
        <v>19</v>
      </c>
      <c r="W26">
        <v>19</v>
      </c>
      <c r="X26">
        <v>0.46581499999999998</v>
      </c>
      <c r="Y26" t="b">
        <v>0</v>
      </c>
      <c r="Z26" t="b">
        <v>0</v>
      </c>
      <c r="AA26" t="b">
        <v>0</v>
      </c>
      <c r="AB26" t="b">
        <v>0</v>
      </c>
      <c r="AC26" t="s">
        <v>144</v>
      </c>
      <c r="AD26" s="1" t="s">
        <v>185</v>
      </c>
      <c r="AE26" s="1" t="s">
        <v>185</v>
      </c>
      <c r="AF26" t="s">
        <v>141</v>
      </c>
      <c r="AG26" t="s">
        <v>143</v>
      </c>
    </row>
    <row r="27" spans="1:33" x14ac:dyDescent="0.25">
      <c r="A27">
        <v>3</v>
      </c>
      <c r="B27">
        <v>0</v>
      </c>
      <c r="C27" t="s">
        <v>112</v>
      </c>
      <c r="D27" t="s">
        <v>113</v>
      </c>
      <c r="E27" t="s">
        <v>77</v>
      </c>
      <c r="F27" t="s">
        <v>78</v>
      </c>
      <c r="G27" t="s">
        <v>114</v>
      </c>
      <c r="H27">
        <v>1</v>
      </c>
      <c r="I27">
        <v>0</v>
      </c>
      <c r="J27">
        <v>0</v>
      </c>
      <c r="K27">
        <v>6</v>
      </c>
      <c r="L27" t="s">
        <v>146</v>
      </c>
      <c r="M27" t="s">
        <v>147</v>
      </c>
      <c r="N27" t="s">
        <v>141</v>
      </c>
      <c r="O27" t="s">
        <v>148</v>
      </c>
      <c r="P27" t="s">
        <v>123</v>
      </c>
      <c r="Q27" t="b">
        <v>0</v>
      </c>
      <c r="R27">
        <v>0.73112100000000002</v>
      </c>
      <c r="S27">
        <v>5.89</v>
      </c>
      <c r="T27">
        <v>2.5569999999999999</v>
      </c>
      <c r="U27">
        <v>0</v>
      </c>
      <c r="V27">
        <v>27</v>
      </c>
      <c r="W27">
        <v>20</v>
      </c>
      <c r="X27">
        <v>0.51748899999999998</v>
      </c>
      <c r="Y27" t="b">
        <v>0</v>
      </c>
      <c r="Z27" t="b">
        <v>0</v>
      </c>
      <c r="AA27" t="b">
        <v>0</v>
      </c>
      <c r="AB27" t="b">
        <v>0</v>
      </c>
      <c r="AC27" t="s">
        <v>149</v>
      </c>
      <c r="AD27" s="1" t="s">
        <v>186</v>
      </c>
      <c r="AE27" s="1" t="s">
        <v>186</v>
      </c>
      <c r="AF27" t="s">
        <v>141</v>
      </c>
      <c r="AG27" t="s">
        <v>123</v>
      </c>
    </row>
    <row r="28" spans="1:33" x14ac:dyDescent="0.25">
      <c r="A28">
        <v>3</v>
      </c>
      <c r="B28">
        <v>0</v>
      </c>
      <c r="C28" t="s">
        <v>112</v>
      </c>
      <c r="D28" t="s">
        <v>113</v>
      </c>
      <c r="E28" t="s">
        <v>77</v>
      </c>
      <c r="F28" t="s">
        <v>78</v>
      </c>
      <c r="G28" t="s">
        <v>114</v>
      </c>
      <c r="H28">
        <v>1</v>
      </c>
      <c r="I28">
        <v>0</v>
      </c>
      <c r="J28">
        <v>0</v>
      </c>
      <c r="K28">
        <v>7</v>
      </c>
      <c r="L28" t="s">
        <v>151</v>
      </c>
      <c r="M28" t="s">
        <v>152</v>
      </c>
      <c r="N28" t="s">
        <v>117</v>
      </c>
      <c r="O28" t="s">
        <v>153</v>
      </c>
      <c r="P28" t="s">
        <v>154</v>
      </c>
      <c r="Q28" t="b">
        <v>0</v>
      </c>
      <c r="R28">
        <v>0.73836500000000005</v>
      </c>
      <c r="S28">
        <v>5.1680000000000001</v>
      </c>
      <c r="T28">
        <v>2.6339999999999999</v>
      </c>
      <c r="U28">
        <v>0</v>
      </c>
      <c r="V28">
        <v>30</v>
      </c>
      <c r="W28">
        <v>20</v>
      </c>
      <c r="X28">
        <v>0.53818699999999997</v>
      </c>
      <c r="Y28" t="b">
        <v>0</v>
      </c>
      <c r="Z28" t="b">
        <v>0</v>
      </c>
      <c r="AA28" t="b">
        <v>0</v>
      </c>
      <c r="AB28" t="b">
        <v>0</v>
      </c>
      <c r="AC28" t="s">
        <v>155</v>
      </c>
      <c r="AD28" s="1" t="s">
        <v>187</v>
      </c>
      <c r="AE28" s="1" t="s">
        <v>187</v>
      </c>
      <c r="AF28" t="s">
        <v>117</v>
      </c>
      <c r="AG28" t="s">
        <v>154</v>
      </c>
    </row>
    <row r="29" spans="1:33" x14ac:dyDescent="0.25">
      <c r="A29">
        <v>3</v>
      </c>
      <c r="B29">
        <v>0</v>
      </c>
      <c r="C29" t="s">
        <v>112</v>
      </c>
      <c r="D29" t="s">
        <v>113</v>
      </c>
      <c r="E29" t="s">
        <v>77</v>
      </c>
      <c r="F29" t="s">
        <v>78</v>
      </c>
      <c r="G29" t="s">
        <v>114</v>
      </c>
      <c r="H29">
        <v>1</v>
      </c>
      <c r="I29">
        <v>0</v>
      </c>
      <c r="J29">
        <v>0</v>
      </c>
      <c r="K29">
        <v>8</v>
      </c>
      <c r="L29" t="s">
        <v>157</v>
      </c>
      <c r="M29" t="s">
        <v>158</v>
      </c>
      <c r="N29" t="s">
        <v>159</v>
      </c>
      <c r="O29" t="s">
        <v>160</v>
      </c>
      <c r="P29" t="s">
        <v>161</v>
      </c>
      <c r="Q29" t="b">
        <v>0</v>
      </c>
      <c r="R29">
        <v>0.72505200000000003</v>
      </c>
      <c r="S29">
        <v>6.1470000000000002</v>
      </c>
      <c r="T29">
        <v>3.7690000000000001</v>
      </c>
      <c r="U29">
        <v>0</v>
      </c>
      <c r="V29">
        <v>10</v>
      </c>
      <c r="W29">
        <v>10</v>
      </c>
      <c r="X29">
        <v>0.50014800000000004</v>
      </c>
      <c r="Y29" t="b">
        <v>0</v>
      </c>
      <c r="Z29" t="b">
        <v>0</v>
      </c>
      <c r="AA29" t="b">
        <v>0</v>
      </c>
      <c r="AB29" t="b">
        <v>0</v>
      </c>
      <c r="AC29" t="s">
        <v>162</v>
      </c>
      <c r="AD29" s="1" t="s">
        <v>188</v>
      </c>
      <c r="AE29" s="1" t="s">
        <v>188</v>
      </c>
      <c r="AF29" t="s">
        <v>159</v>
      </c>
      <c r="AG29" t="s">
        <v>161</v>
      </c>
    </row>
    <row r="30" spans="1:33" x14ac:dyDescent="0.25">
      <c r="A30">
        <v>3</v>
      </c>
      <c r="B30">
        <v>0</v>
      </c>
      <c r="C30" t="s">
        <v>112</v>
      </c>
      <c r="D30" t="s">
        <v>113</v>
      </c>
      <c r="E30" t="s">
        <v>77</v>
      </c>
      <c r="F30" t="s">
        <v>78</v>
      </c>
      <c r="G30" t="s">
        <v>114</v>
      </c>
      <c r="H30">
        <v>1</v>
      </c>
      <c r="I30">
        <v>0</v>
      </c>
      <c r="J30">
        <v>0</v>
      </c>
      <c r="K30">
        <v>9</v>
      </c>
      <c r="L30" t="s">
        <v>164</v>
      </c>
      <c r="M30" t="s">
        <v>165</v>
      </c>
      <c r="N30" t="s">
        <v>117</v>
      </c>
      <c r="O30" t="s">
        <v>166</v>
      </c>
      <c r="P30" t="s">
        <v>161</v>
      </c>
      <c r="Q30" t="b">
        <v>0</v>
      </c>
      <c r="R30">
        <v>0.69419500000000001</v>
      </c>
      <c r="S30">
        <v>4.67</v>
      </c>
      <c r="T30">
        <v>2.6349999999999998</v>
      </c>
      <c r="U30">
        <v>0</v>
      </c>
      <c r="V30">
        <v>12</v>
      </c>
      <c r="W30">
        <v>12</v>
      </c>
      <c r="X30">
        <v>0.41198499999999999</v>
      </c>
      <c r="Y30" t="b">
        <v>0</v>
      </c>
      <c r="Z30" t="b">
        <v>0</v>
      </c>
      <c r="AA30" t="b">
        <v>0</v>
      </c>
      <c r="AB30" t="b">
        <v>0</v>
      </c>
      <c r="AC30" t="s">
        <v>167</v>
      </c>
      <c r="AD30" s="1" t="s">
        <v>189</v>
      </c>
      <c r="AE30" s="1" t="s">
        <v>189</v>
      </c>
      <c r="AF30" t="s">
        <v>117</v>
      </c>
      <c r="AG30" t="s">
        <v>161</v>
      </c>
    </row>
    <row r="31" spans="1:33" x14ac:dyDescent="0.25">
      <c r="A31">
        <v>3</v>
      </c>
      <c r="B31">
        <v>0</v>
      </c>
      <c r="C31" t="s">
        <v>112</v>
      </c>
      <c r="D31" t="s">
        <v>113</v>
      </c>
      <c r="E31" t="s">
        <v>77</v>
      </c>
      <c r="F31" t="s">
        <v>78</v>
      </c>
      <c r="G31" t="s">
        <v>114</v>
      </c>
      <c r="H31">
        <v>1</v>
      </c>
      <c r="I31">
        <v>0</v>
      </c>
      <c r="J31">
        <v>0</v>
      </c>
      <c r="K31">
        <v>10</v>
      </c>
      <c r="L31" t="s">
        <v>169</v>
      </c>
      <c r="M31" t="s">
        <v>170</v>
      </c>
      <c r="N31" t="s">
        <v>117</v>
      </c>
      <c r="O31" t="s">
        <v>171</v>
      </c>
      <c r="P31" t="s">
        <v>161</v>
      </c>
      <c r="Q31" t="b">
        <v>0</v>
      </c>
      <c r="R31">
        <v>0.71037499999999998</v>
      </c>
      <c r="S31">
        <v>4.1070000000000002</v>
      </c>
      <c r="T31">
        <v>2.3780000000000001</v>
      </c>
      <c r="U31">
        <v>0</v>
      </c>
      <c r="V31">
        <v>23</v>
      </c>
      <c r="W31">
        <v>20</v>
      </c>
      <c r="X31">
        <v>0.45821600000000001</v>
      </c>
      <c r="Y31" t="b">
        <v>0</v>
      </c>
      <c r="Z31" t="b">
        <v>0</v>
      </c>
      <c r="AA31" t="b">
        <v>0</v>
      </c>
      <c r="AB31" t="b">
        <v>0</v>
      </c>
      <c r="AC31" t="s">
        <v>172</v>
      </c>
      <c r="AD31" s="1" t="s">
        <v>173</v>
      </c>
      <c r="AE31" s="1" t="s">
        <v>173</v>
      </c>
      <c r="AF31" t="s">
        <v>117</v>
      </c>
      <c r="AG31" t="s">
        <v>161</v>
      </c>
    </row>
    <row r="32" spans="1:33" x14ac:dyDescent="0.25">
      <c r="A32">
        <v>4</v>
      </c>
      <c r="B32">
        <v>0</v>
      </c>
      <c r="C32" t="s">
        <v>112</v>
      </c>
      <c r="D32" t="s">
        <v>113</v>
      </c>
      <c r="E32" t="s">
        <v>77</v>
      </c>
      <c r="F32" t="s">
        <v>78</v>
      </c>
      <c r="G32" t="s">
        <v>114</v>
      </c>
      <c r="H32">
        <v>1</v>
      </c>
      <c r="I32">
        <v>0</v>
      </c>
      <c r="J32">
        <v>0</v>
      </c>
      <c r="K32">
        <v>1</v>
      </c>
      <c r="L32" t="s">
        <v>115</v>
      </c>
      <c r="M32" t="s">
        <v>116</v>
      </c>
      <c r="N32" t="s">
        <v>117</v>
      </c>
      <c r="O32" t="s">
        <v>118</v>
      </c>
      <c r="P32" t="s">
        <v>117</v>
      </c>
      <c r="Q32" t="b">
        <v>1</v>
      </c>
      <c r="R32">
        <v>0.73776299999999995</v>
      </c>
      <c r="S32">
        <v>4.5919999999999996</v>
      </c>
      <c r="T32">
        <v>2.5910000000000002</v>
      </c>
      <c r="U32">
        <v>0</v>
      </c>
      <c r="V32">
        <v>27</v>
      </c>
      <c r="W32">
        <v>20</v>
      </c>
      <c r="X32">
        <v>0.53646499999999997</v>
      </c>
      <c r="Y32" t="b">
        <v>0</v>
      </c>
      <c r="Z32" t="b">
        <v>0</v>
      </c>
      <c r="AA32" t="b">
        <v>0</v>
      </c>
      <c r="AB32" t="b">
        <v>0</v>
      </c>
      <c r="AC32" t="s">
        <v>119</v>
      </c>
      <c r="AD32" s="1" t="s">
        <v>181</v>
      </c>
      <c r="AE32" s="1" t="s">
        <v>181</v>
      </c>
      <c r="AF32" t="s">
        <v>117</v>
      </c>
      <c r="AG32" t="s">
        <v>117</v>
      </c>
    </row>
    <row r="33" spans="1:33" x14ac:dyDescent="0.25">
      <c r="A33">
        <v>4</v>
      </c>
      <c r="B33">
        <v>0</v>
      </c>
      <c r="C33" t="s">
        <v>112</v>
      </c>
      <c r="D33" t="s">
        <v>113</v>
      </c>
      <c r="E33" t="s">
        <v>77</v>
      </c>
      <c r="F33" t="s">
        <v>78</v>
      </c>
      <c r="G33" t="s">
        <v>114</v>
      </c>
      <c r="H33">
        <v>1</v>
      </c>
      <c r="I33">
        <v>0</v>
      </c>
      <c r="J33">
        <v>0</v>
      </c>
      <c r="K33">
        <v>2</v>
      </c>
      <c r="L33" t="s">
        <v>121</v>
      </c>
      <c r="M33" t="s">
        <v>122</v>
      </c>
      <c r="N33" t="s">
        <v>123</v>
      </c>
      <c r="O33" t="s">
        <v>124</v>
      </c>
      <c r="P33" t="s">
        <v>125</v>
      </c>
      <c r="Q33" t="b">
        <v>0</v>
      </c>
      <c r="R33">
        <v>0.69216900000000003</v>
      </c>
      <c r="S33">
        <v>4.8</v>
      </c>
      <c r="T33">
        <v>2.6440000000000001</v>
      </c>
      <c r="U33">
        <v>0</v>
      </c>
      <c r="V33">
        <v>16</v>
      </c>
      <c r="W33">
        <v>16</v>
      </c>
      <c r="X33">
        <v>0.406198</v>
      </c>
      <c r="Y33" t="b">
        <v>0</v>
      </c>
      <c r="Z33" t="b">
        <v>0</v>
      </c>
      <c r="AA33" t="b">
        <v>0</v>
      </c>
      <c r="AB33" t="b">
        <v>0</v>
      </c>
      <c r="AC33" t="s">
        <v>126</v>
      </c>
      <c r="AD33" s="1" t="s">
        <v>175</v>
      </c>
      <c r="AE33" s="1" t="s">
        <v>175</v>
      </c>
      <c r="AF33" t="s">
        <v>123</v>
      </c>
      <c r="AG33" t="s">
        <v>125</v>
      </c>
    </row>
    <row r="34" spans="1:33" x14ac:dyDescent="0.25">
      <c r="A34">
        <v>4</v>
      </c>
      <c r="B34">
        <v>0</v>
      </c>
      <c r="C34" t="s">
        <v>112</v>
      </c>
      <c r="D34" t="s">
        <v>113</v>
      </c>
      <c r="E34" t="s">
        <v>77</v>
      </c>
      <c r="F34" t="s">
        <v>78</v>
      </c>
      <c r="G34" t="s">
        <v>114</v>
      </c>
      <c r="H34">
        <v>1</v>
      </c>
      <c r="I34">
        <v>0</v>
      </c>
      <c r="J34">
        <v>0</v>
      </c>
      <c r="K34">
        <v>3</v>
      </c>
      <c r="L34" t="s">
        <v>128</v>
      </c>
      <c r="M34" t="s">
        <v>129</v>
      </c>
      <c r="N34" t="s">
        <v>117</v>
      </c>
      <c r="O34" t="s">
        <v>130</v>
      </c>
      <c r="P34" t="s">
        <v>131</v>
      </c>
      <c r="Q34" t="b">
        <v>0</v>
      </c>
      <c r="R34">
        <v>0.69804299999999997</v>
      </c>
      <c r="S34">
        <v>4.9429999999999996</v>
      </c>
      <c r="T34">
        <v>2.8769999999999998</v>
      </c>
      <c r="U34">
        <v>0</v>
      </c>
      <c r="V34">
        <v>17</v>
      </c>
      <c r="W34">
        <v>17</v>
      </c>
      <c r="X34">
        <v>0.42298000000000002</v>
      </c>
      <c r="Y34" t="b">
        <v>0</v>
      </c>
      <c r="Z34" t="b">
        <v>0</v>
      </c>
      <c r="AA34" t="b">
        <v>0</v>
      </c>
      <c r="AB34" t="b">
        <v>0</v>
      </c>
      <c r="AC34" t="s">
        <v>132</v>
      </c>
      <c r="AD34" s="1" t="s">
        <v>190</v>
      </c>
      <c r="AE34" s="1" t="s">
        <v>190</v>
      </c>
      <c r="AF34" t="s">
        <v>117</v>
      </c>
      <c r="AG34" t="s">
        <v>131</v>
      </c>
    </row>
    <row r="35" spans="1:33" x14ac:dyDescent="0.25">
      <c r="A35">
        <v>4</v>
      </c>
      <c r="B35">
        <v>0</v>
      </c>
      <c r="C35" t="s">
        <v>112</v>
      </c>
      <c r="D35" t="s">
        <v>113</v>
      </c>
      <c r="E35" t="s">
        <v>77</v>
      </c>
      <c r="F35" t="s">
        <v>78</v>
      </c>
      <c r="G35" t="s">
        <v>114</v>
      </c>
      <c r="H35">
        <v>1</v>
      </c>
      <c r="I35">
        <v>0</v>
      </c>
      <c r="J35">
        <v>0</v>
      </c>
      <c r="K35">
        <v>4</v>
      </c>
      <c r="L35" t="s">
        <v>134</v>
      </c>
      <c r="M35" t="s">
        <v>135</v>
      </c>
      <c r="N35" t="s">
        <v>117</v>
      </c>
      <c r="O35" t="s">
        <v>136</v>
      </c>
      <c r="P35" t="s">
        <v>125</v>
      </c>
      <c r="Q35" t="b">
        <v>0</v>
      </c>
      <c r="R35">
        <v>0.71429900000000002</v>
      </c>
      <c r="S35">
        <v>3.8370000000000002</v>
      </c>
      <c r="T35">
        <v>2.206</v>
      </c>
      <c r="U35">
        <v>0</v>
      </c>
      <c r="V35">
        <v>22</v>
      </c>
      <c r="W35">
        <v>20</v>
      </c>
      <c r="X35">
        <v>0.46942499999999998</v>
      </c>
      <c r="Y35" t="b">
        <v>0</v>
      </c>
      <c r="Z35" t="b">
        <v>0</v>
      </c>
      <c r="AA35" t="b">
        <v>0</v>
      </c>
      <c r="AB35" t="b">
        <v>0</v>
      </c>
      <c r="AC35" t="s">
        <v>137</v>
      </c>
      <c r="AD35" s="1" t="s">
        <v>191</v>
      </c>
      <c r="AE35" s="1" t="s">
        <v>191</v>
      </c>
      <c r="AF35" t="s">
        <v>117</v>
      </c>
      <c r="AG35" t="s">
        <v>125</v>
      </c>
    </row>
    <row r="36" spans="1:33" x14ac:dyDescent="0.25">
      <c r="A36">
        <v>4</v>
      </c>
      <c r="B36">
        <v>0</v>
      </c>
      <c r="C36" t="s">
        <v>112</v>
      </c>
      <c r="D36" t="s">
        <v>113</v>
      </c>
      <c r="E36" t="s">
        <v>77</v>
      </c>
      <c r="F36" t="s">
        <v>78</v>
      </c>
      <c r="G36" t="s">
        <v>114</v>
      </c>
      <c r="H36">
        <v>1</v>
      </c>
      <c r="I36">
        <v>0</v>
      </c>
      <c r="J36">
        <v>0</v>
      </c>
      <c r="K36">
        <v>5</v>
      </c>
      <c r="L36" t="s">
        <v>139</v>
      </c>
      <c r="M36" t="s">
        <v>140</v>
      </c>
      <c r="N36" t="s">
        <v>141</v>
      </c>
      <c r="O36" t="s">
        <v>142</v>
      </c>
      <c r="P36" t="s">
        <v>143</v>
      </c>
      <c r="Q36" t="b">
        <v>0</v>
      </c>
      <c r="R36">
        <v>0.71303499999999997</v>
      </c>
      <c r="S36">
        <v>4.968</v>
      </c>
      <c r="T36">
        <v>2.6040000000000001</v>
      </c>
      <c r="U36">
        <v>0</v>
      </c>
      <c r="V36">
        <v>19</v>
      </c>
      <c r="W36">
        <v>19</v>
      </c>
      <c r="X36">
        <v>0.46581400000000001</v>
      </c>
      <c r="Y36" t="b">
        <v>0</v>
      </c>
      <c r="Z36" t="b">
        <v>0</v>
      </c>
      <c r="AA36" t="b">
        <v>0</v>
      </c>
      <c r="AB36" t="b">
        <v>0</v>
      </c>
      <c r="AC36" t="s">
        <v>144</v>
      </c>
      <c r="AD36" s="1" t="s">
        <v>185</v>
      </c>
      <c r="AE36" s="1" t="s">
        <v>185</v>
      </c>
      <c r="AF36" t="s">
        <v>141</v>
      </c>
      <c r="AG36" t="s">
        <v>143</v>
      </c>
    </row>
    <row r="37" spans="1:33" x14ac:dyDescent="0.25">
      <c r="A37">
        <v>4</v>
      </c>
      <c r="B37">
        <v>0</v>
      </c>
      <c r="C37" t="s">
        <v>112</v>
      </c>
      <c r="D37" t="s">
        <v>113</v>
      </c>
      <c r="E37" t="s">
        <v>77</v>
      </c>
      <c r="F37" t="s">
        <v>78</v>
      </c>
      <c r="G37" t="s">
        <v>114</v>
      </c>
      <c r="H37">
        <v>1</v>
      </c>
      <c r="I37">
        <v>0</v>
      </c>
      <c r="J37">
        <v>0</v>
      </c>
      <c r="K37">
        <v>6</v>
      </c>
      <c r="L37" t="s">
        <v>146</v>
      </c>
      <c r="M37" t="s">
        <v>147</v>
      </c>
      <c r="N37" t="s">
        <v>141</v>
      </c>
      <c r="O37" t="s">
        <v>148</v>
      </c>
      <c r="P37" t="s">
        <v>141</v>
      </c>
      <c r="Q37" t="b">
        <v>1</v>
      </c>
      <c r="R37">
        <v>0.73112100000000002</v>
      </c>
      <c r="S37">
        <v>4.5860000000000003</v>
      </c>
      <c r="T37">
        <v>2.13</v>
      </c>
      <c r="U37">
        <v>0</v>
      </c>
      <c r="V37">
        <v>27</v>
      </c>
      <c r="W37">
        <v>20</v>
      </c>
      <c r="X37">
        <v>0.51748899999999998</v>
      </c>
      <c r="Y37" t="b">
        <v>0</v>
      </c>
      <c r="Z37" t="b">
        <v>0</v>
      </c>
      <c r="AA37" t="b">
        <v>0</v>
      </c>
      <c r="AB37" t="b">
        <v>0</v>
      </c>
      <c r="AC37" t="s">
        <v>149</v>
      </c>
      <c r="AD37" s="1" t="s">
        <v>192</v>
      </c>
      <c r="AE37" s="1" t="s">
        <v>192</v>
      </c>
      <c r="AF37" t="s">
        <v>141</v>
      </c>
      <c r="AG37" t="s">
        <v>141</v>
      </c>
    </row>
    <row r="38" spans="1:33" x14ac:dyDescent="0.25">
      <c r="A38">
        <v>4</v>
      </c>
      <c r="B38">
        <v>0</v>
      </c>
      <c r="C38" t="s">
        <v>112</v>
      </c>
      <c r="D38" t="s">
        <v>113</v>
      </c>
      <c r="E38" t="s">
        <v>77</v>
      </c>
      <c r="F38" t="s">
        <v>78</v>
      </c>
      <c r="G38" t="s">
        <v>114</v>
      </c>
      <c r="H38">
        <v>1</v>
      </c>
      <c r="I38">
        <v>0</v>
      </c>
      <c r="J38">
        <v>0</v>
      </c>
      <c r="K38">
        <v>7</v>
      </c>
      <c r="L38" t="s">
        <v>151</v>
      </c>
      <c r="M38" t="s">
        <v>152</v>
      </c>
      <c r="N38" t="s">
        <v>117</v>
      </c>
      <c r="O38" t="s">
        <v>153</v>
      </c>
      <c r="P38" t="s">
        <v>154</v>
      </c>
      <c r="Q38" t="b">
        <v>0</v>
      </c>
      <c r="R38">
        <v>0.73844900000000002</v>
      </c>
      <c r="S38">
        <v>5.8170000000000002</v>
      </c>
      <c r="T38">
        <v>2.972</v>
      </c>
      <c r="U38">
        <v>0</v>
      </c>
      <c r="V38">
        <v>30</v>
      </c>
      <c r="W38">
        <v>20</v>
      </c>
      <c r="X38">
        <v>0.53842500000000004</v>
      </c>
      <c r="Y38" t="b">
        <v>0</v>
      </c>
      <c r="Z38" t="b">
        <v>0</v>
      </c>
      <c r="AA38" t="b">
        <v>0</v>
      </c>
      <c r="AB38" t="b">
        <v>0</v>
      </c>
      <c r="AC38" t="s">
        <v>155</v>
      </c>
      <c r="AD38" s="1" t="s">
        <v>193</v>
      </c>
      <c r="AE38" s="1" t="s">
        <v>193</v>
      </c>
      <c r="AF38" t="s">
        <v>117</v>
      </c>
      <c r="AG38" t="s">
        <v>154</v>
      </c>
    </row>
    <row r="39" spans="1:33" x14ac:dyDescent="0.25">
      <c r="A39">
        <v>4</v>
      </c>
      <c r="B39">
        <v>0</v>
      </c>
      <c r="C39" t="s">
        <v>112</v>
      </c>
      <c r="D39" t="s">
        <v>113</v>
      </c>
      <c r="E39" t="s">
        <v>77</v>
      </c>
      <c r="F39" t="s">
        <v>78</v>
      </c>
      <c r="G39" t="s">
        <v>114</v>
      </c>
      <c r="H39">
        <v>1</v>
      </c>
      <c r="I39">
        <v>0</v>
      </c>
      <c r="J39">
        <v>0</v>
      </c>
      <c r="K39">
        <v>8</v>
      </c>
      <c r="L39" t="s">
        <v>157</v>
      </c>
      <c r="M39" t="s">
        <v>158</v>
      </c>
      <c r="N39" t="s">
        <v>159</v>
      </c>
      <c r="O39" t="s">
        <v>160</v>
      </c>
      <c r="P39" t="s">
        <v>161</v>
      </c>
      <c r="Q39" t="b">
        <v>0</v>
      </c>
      <c r="R39">
        <v>0.725051</v>
      </c>
      <c r="S39">
        <v>4.452</v>
      </c>
      <c r="T39">
        <v>2.448</v>
      </c>
      <c r="U39">
        <v>0</v>
      </c>
      <c r="V39">
        <v>10</v>
      </c>
      <c r="W39">
        <v>10</v>
      </c>
      <c r="X39">
        <v>0.50014599999999998</v>
      </c>
      <c r="Y39" t="b">
        <v>0</v>
      </c>
      <c r="Z39" t="b">
        <v>0</v>
      </c>
      <c r="AA39" t="b">
        <v>0</v>
      </c>
      <c r="AB39" t="b">
        <v>0</v>
      </c>
      <c r="AC39" t="s">
        <v>162</v>
      </c>
      <c r="AD39" s="1" t="s">
        <v>194</v>
      </c>
      <c r="AE39" s="1" t="s">
        <v>194</v>
      </c>
      <c r="AF39" t="s">
        <v>159</v>
      </c>
      <c r="AG39" t="s">
        <v>161</v>
      </c>
    </row>
    <row r="40" spans="1:33" x14ac:dyDescent="0.25">
      <c r="A40">
        <v>4</v>
      </c>
      <c r="B40">
        <v>0</v>
      </c>
      <c r="C40" t="s">
        <v>112</v>
      </c>
      <c r="D40" t="s">
        <v>113</v>
      </c>
      <c r="E40" t="s">
        <v>77</v>
      </c>
      <c r="F40" t="s">
        <v>78</v>
      </c>
      <c r="G40" t="s">
        <v>114</v>
      </c>
      <c r="H40">
        <v>1</v>
      </c>
      <c r="I40">
        <v>0</v>
      </c>
      <c r="J40">
        <v>0</v>
      </c>
      <c r="K40">
        <v>9</v>
      </c>
      <c r="L40" t="s">
        <v>164</v>
      </c>
      <c r="M40" t="s">
        <v>165</v>
      </c>
      <c r="N40" t="s">
        <v>117</v>
      </c>
      <c r="O40" t="s">
        <v>166</v>
      </c>
      <c r="P40" t="s">
        <v>161</v>
      </c>
      <c r="Q40" t="b">
        <v>0</v>
      </c>
      <c r="R40">
        <v>0.69419600000000004</v>
      </c>
      <c r="S40">
        <v>5.4930000000000003</v>
      </c>
      <c r="T40">
        <v>3.1760000000000002</v>
      </c>
      <c r="U40">
        <v>0</v>
      </c>
      <c r="V40">
        <v>12</v>
      </c>
      <c r="W40">
        <v>12</v>
      </c>
      <c r="X40">
        <v>0.41198800000000002</v>
      </c>
      <c r="Y40" t="b">
        <v>0</v>
      </c>
      <c r="Z40" t="b">
        <v>0</v>
      </c>
      <c r="AA40" t="b">
        <v>0</v>
      </c>
      <c r="AB40" t="b">
        <v>0</v>
      </c>
      <c r="AC40" t="s">
        <v>167</v>
      </c>
      <c r="AD40" s="1" t="s">
        <v>195</v>
      </c>
      <c r="AE40" s="1" t="s">
        <v>195</v>
      </c>
      <c r="AF40" t="s">
        <v>117</v>
      </c>
      <c r="AG40" t="s">
        <v>161</v>
      </c>
    </row>
    <row r="41" spans="1:33" x14ac:dyDescent="0.25">
      <c r="A41">
        <v>4</v>
      </c>
      <c r="B41">
        <v>0</v>
      </c>
      <c r="C41" t="s">
        <v>112</v>
      </c>
      <c r="D41" t="s">
        <v>113</v>
      </c>
      <c r="E41" t="s">
        <v>77</v>
      </c>
      <c r="F41" t="s">
        <v>78</v>
      </c>
      <c r="G41" t="s">
        <v>114</v>
      </c>
      <c r="H41">
        <v>1</v>
      </c>
      <c r="I41">
        <v>0</v>
      </c>
      <c r="J41">
        <v>0</v>
      </c>
      <c r="K41">
        <v>10</v>
      </c>
      <c r="L41" t="s">
        <v>169</v>
      </c>
      <c r="M41" t="s">
        <v>170</v>
      </c>
      <c r="N41" t="s">
        <v>117</v>
      </c>
      <c r="O41" t="s">
        <v>171</v>
      </c>
      <c r="P41" t="s">
        <v>161</v>
      </c>
      <c r="Q41" t="b">
        <v>0</v>
      </c>
      <c r="R41">
        <v>0.71037600000000001</v>
      </c>
      <c r="S41">
        <v>4.8029999999999999</v>
      </c>
      <c r="T41">
        <v>3.0219999999999998</v>
      </c>
      <c r="U41">
        <v>0</v>
      </c>
      <c r="V41">
        <v>23</v>
      </c>
      <c r="W41">
        <v>20</v>
      </c>
      <c r="X41">
        <v>0.45821800000000001</v>
      </c>
      <c r="Y41" t="b">
        <v>0</v>
      </c>
      <c r="Z41" t="b">
        <v>0</v>
      </c>
      <c r="AA41" t="b">
        <v>0</v>
      </c>
      <c r="AB41" t="b">
        <v>0</v>
      </c>
      <c r="AC41" t="s">
        <v>172</v>
      </c>
      <c r="AD41" s="1" t="s">
        <v>196</v>
      </c>
      <c r="AE41" s="1" t="s">
        <v>196</v>
      </c>
      <c r="AF41" t="s">
        <v>117</v>
      </c>
      <c r="AG41" t="s">
        <v>161</v>
      </c>
    </row>
    <row r="42" spans="1:33" x14ac:dyDescent="0.25">
      <c r="A42">
        <v>5</v>
      </c>
      <c r="B42">
        <v>0</v>
      </c>
      <c r="C42" t="s">
        <v>112</v>
      </c>
      <c r="D42" t="s">
        <v>113</v>
      </c>
      <c r="E42" t="s">
        <v>77</v>
      </c>
      <c r="F42" t="s">
        <v>78</v>
      </c>
      <c r="G42" t="s">
        <v>114</v>
      </c>
      <c r="H42">
        <v>1</v>
      </c>
      <c r="I42">
        <v>0</v>
      </c>
      <c r="J42">
        <v>0</v>
      </c>
      <c r="K42">
        <v>1</v>
      </c>
      <c r="L42" t="s">
        <v>115</v>
      </c>
      <c r="M42" t="s">
        <v>116</v>
      </c>
      <c r="N42" t="s">
        <v>117</v>
      </c>
      <c r="O42" t="s">
        <v>118</v>
      </c>
      <c r="P42" t="s">
        <v>117</v>
      </c>
      <c r="Q42" t="b">
        <v>1</v>
      </c>
      <c r="R42">
        <v>0.73776299999999995</v>
      </c>
      <c r="S42">
        <v>4.43</v>
      </c>
      <c r="T42">
        <v>2.2370000000000001</v>
      </c>
      <c r="U42">
        <v>0</v>
      </c>
      <c r="V42">
        <v>27</v>
      </c>
      <c r="W42">
        <v>20</v>
      </c>
      <c r="X42">
        <v>0.53646499999999997</v>
      </c>
      <c r="Y42" t="b">
        <v>0</v>
      </c>
      <c r="Z42" t="b">
        <v>0</v>
      </c>
      <c r="AA42" t="b">
        <v>0</v>
      </c>
      <c r="AB42" t="b">
        <v>0</v>
      </c>
      <c r="AC42" t="s">
        <v>119</v>
      </c>
      <c r="AD42" s="1" t="s">
        <v>197</v>
      </c>
      <c r="AE42" s="1" t="s">
        <v>197</v>
      </c>
      <c r="AF42" t="s">
        <v>117</v>
      </c>
      <c r="AG42" t="s">
        <v>117</v>
      </c>
    </row>
    <row r="43" spans="1:33" x14ac:dyDescent="0.25">
      <c r="A43">
        <v>5</v>
      </c>
      <c r="B43">
        <v>0</v>
      </c>
      <c r="C43" t="s">
        <v>112</v>
      </c>
      <c r="D43" t="s">
        <v>113</v>
      </c>
      <c r="E43" t="s">
        <v>77</v>
      </c>
      <c r="F43" t="s">
        <v>78</v>
      </c>
      <c r="G43" t="s">
        <v>114</v>
      </c>
      <c r="H43">
        <v>1</v>
      </c>
      <c r="I43">
        <v>0</v>
      </c>
      <c r="J43">
        <v>0</v>
      </c>
      <c r="K43">
        <v>2</v>
      </c>
      <c r="L43" t="s">
        <v>121</v>
      </c>
      <c r="M43" t="s">
        <v>122</v>
      </c>
      <c r="N43" t="s">
        <v>123</v>
      </c>
      <c r="O43" t="s">
        <v>124</v>
      </c>
      <c r="P43" t="s">
        <v>125</v>
      </c>
      <c r="Q43" t="b">
        <v>0</v>
      </c>
      <c r="R43">
        <v>0.69217200000000001</v>
      </c>
      <c r="S43">
        <v>5.0449999999999999</v>
      </c>
      <c r="T43">
        <v>2.7130000000000001</v>
      </c>
      <c r="U43">
        <v>0</v>
      </c>
      <c r="V43">
        <v>16</v>
      </c>
      <c r="W43">
        <v>16</v>
      </c>
      <c r="X43">
        <v>0.40620400000000001</v>
      </c>
      <c r="Y43" t="b">
        <v>0</v>
      </c>
      <c r="Z43" t="b">
        <v>0</v>
      </c>
      <c r="AA43" t="b">
        <v>0</v>
      </c>
      <c r="AB43" t="b">
        <v>0</v>
      </c>
      <c r="AC43" t="s">
        <v>126</v>
      </c>
      <c r="AD43" s="1" t="s">
        <v>198</v>
      </c>
      <c r="AE43" s="1" t="s">
        <v>198</v>
      </c>
      <c r="AF43" t="s">
        <v>123</v>
      </c>
      <c r="AG43" t="s">
        <v>125</v>
      </c>
    </row>
    <row r="44" spans="1:33" x14ac:dyDescent="0.25">
      <c r="A44">
        <v>5</v>
      </c>
      <c r="B44">
        <v>0</v>
      </c>
      <c r="C44" t="s">
        <v>112</v>
      </c>
      <c r="D44" t="s">
        <v>113</v>
      </c>
      <c r="E44" t="s">
        <v>77</v>
      </c>
      <c r="F44" t="s">
        <v>78</v>
      </c>
      <c r="G44" t="s">
        <v>114</v>
      </c>
      <c r="H44">
        <v>1</v>
      </c>
      <c r="I44">
        <v>0</v>
      </c>
      <c r="J44">
        <v>0</v>
      </c>
      <c r="K44">
        <v>3</v>
      </c>
      <c r="L44" t="s">
        <v>128</v>
      </c>
      <c r="M44" t="s">
        <v>129</v>
      </c>
      <c r="N44" t="s">
        <v>117</v>
      </c>
      <c r="O44" t="s">
        <v>130</v>
      </c>
      <c r="P44" t="s">
        <v>131</v>
      </c>
      <c r="Q44" t="b">
        <v>0</v>
      </c>
      <c r="R44">
        <v>0.69804100000000002</v>
      </c>
      <c r="S44">
        <v>5.923</v>
      </c>
      <c r="T44">
        <v>3.835</v>
      </c>
      <c r="U44">
        <v>0</v>
      </c>
      <c r="V44">
        <v>17</v>
      </c>
      <c r="W44">
        <v>17</v>
      </c>
      <c r="X44">
        <v>0.42297499999999999</v>
      </c>
      <c r="Y44" t="b">
        <v>0</v>
      </c>
      <c r="Z44" t="b">
        <v>0</v>
      </c>
      <c r="AA44" t="b">
        <v>0</v>
      </c>
      <c r="AB44" t="b">
        <v>0</v>
      </c>
      <c r="AC44" t="s">
        <v>132</v>
      </c>
      <c r="AD44" s="1" t="s">
        <v>199</v>
      </c>
      <c r="AE44" s="1" t="s">
        <v>199</v>
      </c>
      <c r="AF44" t="s">
        <v>117</v>
      </c>
      <c r="AG44" t="s">
        <v>131</v>
      </c>
    </row>
    <row r="45" spans="1:33" x14ac:dyDescent="0.25">
      <c r="A45">
        <v>5</v>
      </c>
      <c r="B45">
        <v>0</v>
      </c>
      <c r="C45" t="s">
        <v>112</v>
      </c>
      <c r="D45" t="s">
        <v>113</v>
      </c>
      <c r="E45" t="s">
        <v>77</v>
      </c>
      <c r="F45" t="s">
        <v>78</v>
      </c>
      <c r="G45" t="s">
        <v>114</v>
      </c>
      <c r="H45">
        <v>1</v>
      </c>
      <c r="I45">
        <v>0</v>
      </c>
      <c r="J45">
        <v>0</v>
      </c>
      <c r="K45">
        <v>4</v>
      </c>
      <c r="L45" t="s">
        <v>134</v>
      </c>
      <c r="M45" t="s">
        <v>135</v>
      </c>
      <c r="N45" t="s">
        <v>117</v>
      </c>
      <c r="O45" t="s">
        <v>136</v>
      </c>
      <c r="P45" t="s">
        <v>125</v>
      </c>
      <c r="Q45" t="b">
        <v>0</v>
      </c>
      <c r="R45">
        <v>0.71430000000000005</v>
      </c>
      <c r="S45">
        <v>4.7210000000000001</v>
      </c>
      <c r="T45">
        <v>2.6440000000000001</v>
      </c>
      <c r="U45">
        <v>0</v>
      </c>
      <c r="V45">
        <v>22</v>
      </c>
      <c r="W45">
        <v>20</v>
      </c>
      <c r="X45">
        <v>0.46942800000000001</v>
      </c>
      <c r="Y45" t="b">
        <v>0</v>
      </c>
      <c r="Z45" t="b">
        <v>0</v>
      </c>
      <c r="AA45" t="b">
        <v>0</v>
      </c>
      <c r="AB45" t="b">
        <v>0</v>
      </c>
      <c r="AC45" t="s">
        <v>137</v>
      </c>
      <c r="AD45" s="1" t="s">
        <v>200</v>
      </c>
      <c r="AE45" s="1" t="s">
        <v>200</v>
      </c>
      <c r="AF45" t="s">
        <v>117</v>
      </c>
      <c r="AG45" t="s">
        <v>125</v>
      </c>
    </row>
    <row r="46" spans="1:33" x14ac:dyDescent="0.25">
      <c r="A46">
        <v>5</v>
      </c>
      <c r="B46">
        <v>0</v>
      </c>
      <c r="C46" t="s">
        <v>112</v>
      </c>
      <c r="D46" t="s">
        <v>113</v>
      </c>
      <c r="E46" t="s">
        <v>77</v>
      </c>
      <c r="F46" t="s">
        <v>78</v>
      </c>
      <c r="G46" t="s">
        <v>114</v>
      </c>
      <c r="H46">
        <v>1</v>
      </c>
      <c r="I46">
        <v>0</v>
      </c>
      <c r="J46">
        <v>0</v>
      </c>
      <c r="K46">
        <v>5</v>
      </c>
      <c r="L46" t="s">
        <v>139</v>
      </c>
      <c r="M46" t="s">
        <v>140</v>
      </c>
      <c r="N46" t="s">
        <v>141</v>
      </c>
      <c r="O46" t="s">
        <v>142</v>
      </c>
      <c r="P46" t="s">
        <v>143</v>
      </c>
      <c r="Q46" t="b">
        <v>0</v>
      </c>
      <c r="R46">
        <v>0.71303499999999997</v>
      </c>
      <c r="S46">
        <v>14.88</v>
      </c>
      <c r="T46">
        <v>2.4260000000000002</v>
      </c>
      <c r="U46">
        <v>0</v>
      </c>
      <c r="V46">
        <v>19</v>
      </c>
      <c r="W46">
        <v>19</v>
      </c>
      <c r="X46">
        <v>0.46581400000000001</v>
      </c>
      <c r="Y46" t="b">
        <v>0</v>
      </c>
      <c r="Z46" t="b">
        <v>0</v>
      </c>
      <c r="AA46" t="b">
        <v>0</v>
      </c>
      <c r="AB46" t="b">
        <v>0</v>
      </c>
      <c r="AC46" t="s">
        <v>144</v>
      </c>
      <c r="AD46" s="1" t="s">
        <v>201</v>
      </c>
      <c r="AE46" s="1" t="s">
        <v>201</v>
      </c>
      <c r="AF46" t="s">
        <v>141</v>
      </c>
      <c r="AG46" t="s">
        <v>143</v>
      </c>
    </row>
    <row r="47" spans="1:33" x14ac:dyDescent="0.25">
      <c r="A47">
        <v>5</v>
      </c>
      <c r="B47">
        <v>0</v>
      </c>
      <c r="C47" t="s">
        <v>112</v>
      </c>
      <c r="D47" t="s">
        <v>113</v>
      </c>
      <c r="E47" t="s">
        <v>77</v>
      </c>
      <c r="F47" t="s">
        <v>78</v>
      </c>
      <c r="G47" t="s">
        <v>114</v>
      </c>
      <c r="H47">
        <v>1</v>
      </c>
      <c r="I47">
        <v>0</v>
      </c>
      <c r="J47">
        <v>0</v>
      </c>
      <c r="K47">
        <v>6</v>
      </c>
      <c r="L47" t="s">
        <v>146</v>
      </c>
      <c r="M47" t="s">
        <v>147</v>
      </c>
      <c r="N47" t="s">
        <v>141</v>
      </c>
      <c r="O47" t="s">
        <v>148</v>
      </c>
      <c r="P47" t="s">
        <v>123</v>
      </c>
      <c r="Q47" t="b">
        <v>0</v>
      </c>
      <c r="R47">
        <v>0.73112100000000002</v>
      </c>
      <c r="S47">
        <v>6.2240000000000002</v>
      </c>
      <c r="T47">
        <v>2.246</v>
      </c>
      <c r="U47">
        <v>0</v>
      </c>
      <c r="V47">
        <v>27</v>
      </c>
      <c r="W47">
        <v>20</v>
      </c>
      <c r="X47">
        <v>0.51748899999999998</v>
      </c>
      <c r="Y47" t="b">
        <v>0</v>
      </c>
      <c r="Z47" t="b">
        <v>0</v>
      </c>
      <c r="AA47" t="b">
        <v>0</v>
      </c>
      <c r="AB47" t="b">
        <v>0</v>
      </c>
      <c r="AC47" t="s">
        <v>149</v>
      </c>
      <c r="AD47" s="1" t="s">
        <v>202</v>
      </c>
      <c r="AE47" s="1" t="s">
        <v>202</v>
      </c>
      <c r="AF47" t="s">
        <v>141</v>
      </c>
      <c r="AG47" t="s">
        <v>123</v>
      </c>
    </row>
    <row r="48" spans="1:33" x14ac:dyDescent="0.25">
      <c r="A48">
        <v>5</v>
      </c>
      <c r="B48">
        <v>0</v>
      </c>
      <c r="C48" t="s">
        <v>112</v>
      </c>
      <c r="D48" t="s">
        <v>113</v>
      </c>
      <c r="E48" t="s">
        <v>77</v>
      </c>
      <c r="F48" t="s">
        <v>78</v>
      </c>
      <c r="G48" t="s">
        <v>114</v>
      </c>
      <c r="H48">
        <v>1</v>
      </c>
      <c r="I48">
        <v>0</v>
      </c>
      <c r="J48">
        <v>0</v>
      </c>
      <c r="K48">
        <v>7</v>
      </c>
      <c r="L48" t="s">
        <v>151</v>
      </c>
      <c r="M48" t="s">
        <v>152</v>
      </c>
      <c r="N48" t="s">
        <v>117</v>
      </c>
      <c r="O48" t="s">
        <v>153</v>
      </c>
      <c r="P48" t="s">
        <v>154</v>
      </c>
      <c r="Q48" t="b">
        <v>0</v>
      </c>
      <c r="R48">
        <v>0.73836500000000005</v>
      </c>
      <c r="S48">
        <v>4.8049999999999997</v>
      </c>
      <c r="T48">
        <v>2.1019999999999999</v>
      </c>
      <c r="U48">
        <v>0</v>
      </c>
      <c r="V48">
        <v>30</v>
      </c>
      <c r="W48">
        <v>20</v>
      </c>
      <c r="X48">
        <v>0.53818699999999997</v>
      </c>
      <c r="Y48" t="b">
        <v>0</v>
      </c>
      <c r="Z48" t="b">
        <v>0</v>
      </c>
      <c r="AA48" t="b">
        <v>0</v>
      </c>
      <c r="AB48" t="b">
        <v>0</v>
      </c>
      <c r="AC48" t="s">
        <v>155</v>
      </c>
      <c r="AD48" s="1" t="s">
        <v>203</v>
      </c>
      <c r="AE48" s="1" t="s">
        <v>203</v>
      </c>
      <c r="AF48" t="s">
        <v>117</v>
      </c>
      <c r="AG48" t="s">
        <v>154</v>
      </c>
    </row>
    <row r="49" spans="1:33" x14ac:dyDescent="0.25">
      <c r="A49">
        <v>5</v>
      </c>
      <c r="B49">
        <v>0</v>
      </c>
      <c r="C49" t="s">
        <v>112</v>
      </c>
      <c r="D49" t="s">
        <v>113</v>
      </c>
      <c r="E49" t="s">
        <v>77</v>
      </c>
      <c r="F49" t="s">
        <v>78</v>
      </c>
      <c r="G49" t="s">
        <v>114</v>
      </c>
      <c r="H49">
        <v>1</v>
      </c>
      <c r="I49">
        <v>0</v>
      </c>
      <c r="J49">
        <v>0</v>
      </c>
      <c r="K49">
        <v>8</v>
      </c>
      <c r="L49" t="s">
        <v>157</v>
      </c>
      <c r="M49" t="s">
        <v>158</v>
      </c>
      <c r="N49" t="s">
        <v>159</v>
      </c>
      <c r="O49" t="s">
        <v>160</v>
      </c>
      <c r="P49" t="s">
        <v>161</v>
      </c>
      <c r="Q49" t="b">
        <v>0</v>
      </c>
      <c r="R49">
        <v>0.72505200000000003</v>
      </c>
      <c r="S49">
        <v>4.851</v>
      </c>
      <c r="T49">
        <v>2.149</v>
      </c>
      <c r="U49">
        <v>0</v>
      </c>
      <c r="V49">
        <v>10</v>
      </c>
      <c r="W49">
        <v>10</v>
      </c>
      <c r="X49">
        <v>0.50014800000000004</v>
      </c>
      <c r="Y49" t="b">
        <v>0</v>
      </c>
      <c r="Z49" t="b">
        <v>0</v>
      </c>
      <c r="AA49" t="b">
        <v>0</v>
      </c>
      <c r="AB49" t="b">
        <v>0</v>
      </c>
      <c r="AC49" t="s">
        <v>162</v>
      </c>
      <c r="AD49" s="1" t="s">
        <v>204</v>
      </c>
      <c r="AE49" s="1" t="s">
        <v>204</v>
      </c>
      <c r="AF49" t="s">
        <v>159</v>
      </c>
      <c r="AG49" t="s">
        <v>161</v>
      </c>
    </row>
    <row r="50" spans="1:33" x14ac:dyDescent="0.25">
      <c r="A50">
        <v>5</v>
      </c>
      <c r="B50">
        <v>0</v>
      </c>
      <c r="C50" t="s">
        <v>112</v>
      </c>
      <c r="D50" t="s">
        <v>113</v>
      </c>
      <c r="E50" t="s">
        <v>77</v>
      </c>
      <c r="F50" t="s">
        <v>78</v>
      </c>
      <c r="G50" t="s">
        <v>114</v>
      </c>
      <c r="H50">
        <v>1</v>
      </c>
      <c r="I50">
        <v>0</v>
      </c>
      <c r="J50">
        <v>0</v>
      </c>
      <c r="K50">
        <v>9</v>
      </c>
      <c r="L50" t="s">
        <v>164</v>
      </c>
      <c r="M50" t="s">
        <v>165</v>
      </c>
      <c r="N50" t="s">
        <v>117</v>
      </c>
      <c r="O50" t="s">
        <v>166</v>
      </c>
      <c r="P50" t="s">
        <v>161</v>
      </c>
      <c r="Q50" t="b">
        <v>0</v>
      </c>
      <c r="R50">
        <v>0.69419500000000001</v>
      </c>
      <c r="S50">
        <v>4.8959999999999999</v>
      </c>
      <c r="T50">
        <v>2.2509999999999999</v>
      </c>
      <c r="U50">
        <v>0</v>
      </c>
      <c r="V50">
        <v>12</v>
      </c>
      <c r="W50">
        <v>12</v>
      </c>
      <c r="X50">
        <v>0.41198499999999999</v>
      </c>
      <c r="Y50" t="b">
        <v>0</v>
      </c>
      <c r="Z50" t="b">
        <v>0</v>
      </c>
      <c r="AA50" t="b">
        <v>0</v>
      </c>
      <c r="AB50" t="b">
        <v>0</v>
      </c>
      <c r="AC50" t="s">
        <v>167</v>
      </c>
      <c r="AD50" s="1" t="s">
        <v>205</v>
      </c>
      <c r="AE50" s="1" t="s">
        <v>205</v>
      </c>
      <c r="AF50" t="s">
        <v>117</v>
      </c>
      <c r="AG50" t="s">
        <v>161</v>
      </c>
    </row>
    <row r="51" spans="1:33" x14ac:dyDescent="0.25">
      <c r="A51">
        <v>5</v>
      </c>
      <c r="B51">
        <v>0</v>
      </c>
      <c r="C51" t="s">
        <v>112</v>
      </c>
      <c r="D51" t="s">
        <v>113</v>
      </c>
      <c r="E51" t="s">
        <v>77</v>
      </c>
      <c r="F51" t="s">
        <v>78</v>
      </c>
      <c r="G51" t="s">
        <v>114</v>
      </c>
      <c r="H51">
        <v>1</v>
      </c>
      <c r="I51">
        <v>0</v>
      </c>
      <c r="J51">
        <v>0</v>
      </c>
      <c r="K51">
        <v>10</v>
      </c>
      <c r="L51" t="s">
        <v>169</v>
      </c>
      <c r="M51" t="s">
        <v>170</v>
      </c>
      <c r="N51" t="s">
        <v>117</v>
      </c>
      <c r="O51" t="s">
        <v>171</v>
      </c>
      <c r="P51" t="s">
        <v>161</v>
      </c>
      <c r="Q51" t="b">
        <v>0</v>
      </c>
      <c r="R51">
        <v>0.71037099999999997</v>
      </c>
      <c r="S51">
        <v>4.0380000000000003</v>
      </c>
      <c r="T51">
        <v>2.1619999999999999</v>
      </c>
      <c r="U51">
        <v>0</v>
      </c>
      <c r="V51">
        <v>23</v>
      </c>
      <c r="W51">
        <v>20</v>
      </c>
      <c r="X51">
        <v>0.45820300000000003</v>
      </c>
      <c r="Y51" t="b">
        <v>0</v>
      </c>
      <c r="Z51" t="b">
        <v>0</v>
      </c>
      <c r="AA51" t="b">
        <v>0</v>
      </c>
      <c r="AB51" t="b">
        <v>0</v>
      </c>
      <c r="AC51" t="s">
        <v>172</v>
      </c>
      <c r="AD51" s="1" t="s">
        <v>173</v>
      </c>
      <c r="AE51" s="1" t="s">
        <v>173</v>
      </c>
      <c r="AF51" t="s">
        <v>117</v>
      </c>
      <c r="AG51" t="s">
        <v>161</v>
      </c>
    </row>
    <row r="52" spans="1:33" x14ac:dyDescent="0.25">
      <c r="A52">
        <v>1</v>
      </c>
      <c r="B52">
        <v>1</v>
      </c>
      <c r="C52" t="s">
        <v>112</v>
      </c>
      <c r="D52" t="s">
        <v>113</v>
      </c>
      <c r="E52" t="s">
        <v>79</v>
      </c>
      <c r="F52" t="e" cm="1">
        <f t="array" ref="F52">+ Evidence quality</f>
        <v>#NAME?</v>
      </c>
      <c r="G52" t="s">
        <v>206</v>
      </c>
      <c r="H52">
        <v>0.7</v>
      </c>
      <c r="I52">
        <v>0.3</v>
      </c>
      <c r="J52">
        <v>0</v>
      </c>
      <c r="K52">
        <v>1</v>
      </c>
      <c r="L52" t="s">
        <v>115</v>
      </c>
      <c r="M52" t="s">
        <v>116</v>
      </c>
      <c r="N52" t="s">
        <v>117</v>
      </c>
      <c r="O52" t="s">
        <v>118</v>
      </c>
      <c r="P52" t="s">
        <v>117</v>
      </c>
      <c r="Q52" t="b">
        <v>1</v>
      </c>
      <c r="R52">
        <v>0.73393900000000001</v>
      </c>
      <c r="S52">
        <v>5.6189999999999998</v>
      </c>
      <c r="T52">
        <v>3.347</v>
      </c>
      <c r="U52">
        <v>0</v>
      </c>
      <c r="V52">
        <v>27</v>
      </c>
      <c r="W52">
        <v>20</v>
      </c>
      <c r="X52">
        <v>0.52554000000000001</v>
      </c>
      <c r="Y52" t="b">
        <v>0</v>
      </c>
      <c r="Z52" t="b">
        <v>0</v>
      </c>
      <c r="AA52" t="b">
        <v>0</v>
      </c>
      <c r="AB52" t="b">
        <v>0</v>
      </c>
      <c r="AC52" t="s">
        <v>119</v>
      </c>
      <c r="AD52" s="1" t="s">
        <v>207</v>
      </c>
      <c r="AE52" s="1" t="s">
        <v>207</v>
      </c>
      <c r="AF52" t="s">
        <v>117</v>
      </c>
      <c r="AG52" t="s">
        <v>117</v>
      </c>
    </row>
    <row r="53" spans="1:33" x14ac:dyDescent="0.25">
      <c r="A53">
        <v>1</v>
      </c>
      <c r="B53">
        <v>1</v>
      </c>
      <c r="C53" t="s">
        <v>112</v>
      </c>
      <c r="D53" t="s">
        <v>113</v>
      </c>
      <c r="E53" t="s">
        <v>79</v>
      </c>
      <c r="F53" t="e" cm="1">
        <f t="array" ref="F53">+ Evidence quality</f>
        <v>#NAME?</v>
      </c>
      <c r="G53" t="s">
        <v>206</v>
      </c>
      <c r="H53">
        <v>0.7</v>
      </c>
      <c r="I53">
        <v>0.3</v>
      </c>
      <c r="J53">
        <v>0</v>
      </c>
      <c r="K53">
        <v>2</v>
      </c>
      <c r="L53" t="s">
        <v>121</v>
      </c>
      <c r="M53" t="s">
        <v>122</v>
      </c>
      <c r="N53" t="s">
        <v>123</v>
      </c>
      <c r="O53" t="s">
        <v>124</v>
      </c>
      <c r="P53" t="s">
        <v>125</v>
      </c>
      <c r="Q53" t="b">
        <v>0</v>
      </c>
      <c r="R53">
        <v>0.70201800000000003</v>
      </c>
      <c r="S53">
        <v>5.101</v>
      </c>
      <c r="T53">
        <v>2.4369999999999998</v>
      </c>
      <c r="U53">
        <v>0</v>
      </c>
      <c r="V53">
        <v>16</v>
      </c>
      <c r="W53">
        <v>16</v>
      </c>
      <c r="X53">
        <v>0.434338</v>
      </c>
      <c r="Y53" t="b">
        <v>0</v>
      </c>
      <c r="Z53" t="b">
        <v>0</v>
      </c>
      <c r="AA53" t="b">
        <v>0</v>
      </c>
      <c r="AB53" t="b">
        <v>0</v>
      </c>
      <c r="AC53" t="s">
        <v>126</v>
      </c>
      <c r="AD53" s="1" t="s">
        <v>198</v>
      </c>
      <c r="AE53" s="1" t="s">
        <v>198</v>
      </c>
      <c r="AF53" t="s">
        <v>123</v>
      </c>
      <c r="AG53" t="s">
        <v>125</v>
      </c>
    </row>
    <row r="54" spans="1:33" x14ac:dyDescent="0.25">
      <c r="A54">
        <v>1</v>
      </c>
      <c r="B54">
        <v>1</v>
      </c>
      <c r="C54" t="s">
        <v>112</v>
      </c>
      <c r="D54" t="s">
        <v>113</v>
      </c>
      <c r="E54" t="s">
        <v>79</v>
      </c>
      <c r="F54" t="e" cm="1">
        <f t="array" ref="F54">+ Evidence quality</f>
        <v>#NAME?</v>
      </c>
      <c r="G54" t="s">
        <v>206</v>
      </c>
      <c r="H54">
        <v>0.7</v>
      </c>
      <c r="I54">
        <v>0.3</v>
      </c>
      <c r="J54">
        <v>0</v>
      </c>
      <c r="K54">
        <v>3</v>
      </c>
      <c r="L54" t="s">
        <v>128</v>
      </c>
      <c r="M54" t="s">
        <v>129</v>
      </c>
      <c r="N54" t="s">
        <v>117</v>
      </c>
      <c r="O54" t="s">
        <v>130</v>
      </c>
      <c r="P54" t="s">
        <v>131</v>
      </c>
      <c r="Q54" t="b">
        <v>0</v>
      </c>
      <c r="R54">
        <v>0.70613099999999995</v>
      </c>
      <c r="S54">
        <v>4.165</v>
      </c>
      <c r="T54">
        <v>2.044</v>
      </c>
      <c r="U54">
        <v>0</v>
      </c>
      <c r="V54">
        <v>17</v>
      </c>
      <c r="W54">
        <v>17</v>
      </c>
      <c r="X54">
        <v>0.44608999999999999</v>
      </c>
      <c r="Y54" t="b">
        <v>0</v>
      </c>
      <c r="Z54" t="b">
        <v>0</v>
      </c>
      <c r="AA54" t="b">
        <v>0</v>
      </c>
      <c r="AB54" t="b">
        <v>0</v>
      </c>
      <c r="AC54" t="s">
        <v>132</v>
      </c>
      <c r="AD54" s="1" t="s">
        <v>208</v>
      </c>
      <c r="AE54" s="1" t="s">
        <v>208</v>
      </c>
      <c r="AF54" t="s">
        <v>117</v>
      </c>
      <c r="AG54" t="s">
        <v>131</v>
      </c>
    </row>
    <row r="55" spans="1:33" x14ac:dyDescent="0.25">
      <c r="A55">
        <v>1</v>
      </c>
      <c r="B55">
        <v>1</v>
      </c>
      <c r="C55" t="s">
        <v>112</v>
      </c>
      <c r="D55" t="s">
        <v>113</v>
      </c>
      <c r="E55" t="s">
        <v>79</v>
      </c>
      <c r="F55" t="e" cm="1">
        <f t="array" ref="F55">+ Evidence quality</f>
        <v>#NAME?</v>
      </c>
      <c r="G55" t="s">
        <v>206</v>
      </c>
      <c r="H55">
        <v>0.7</v>
      </c>
      <c r="I55">
        <v>0.3</v>
      </c>
      <c r="J55">
        <v>0</v>
      </c>
      <c r="K55">
        <v>4</v>
      </c>
      <c r="L55" t="s">
        <v>134</v>
      </c>
      <c r="M55" t="s">
        <v>135</v>
      </c>
      <c r="N55" t="s">
        <v>117</v>
      </c>
      <c r="O55" t="s">
        <v>136</v>
      </c>
      <c r="P55" t="s">
        <v>125</v>
      </c>
      <c r="Q55" t="b">
        <v>0</v>
      </c>
      <c r="R55">
        <v>0.71750800000000003</v>
      </c>
      <c r="S55">
        <v>3.8319999999999999</v>
      </c>
      <c r="T55">
        <v>2.234</v>
      </c>
      <c r="U55">
        <v>0</v>
      </c>
      <c r="V55">
        <v>22</v>
      </c>
      <c r="W55">
        <v>20</v>
      </c>
      <c r="X55">
        <v>0.47859499999999999</v>
      </c>
      <c r="Y55" t="b">
        <v>0</v>
      </c>
      <c r="Z55" t="b">
        <v>0</v>
      </c>
      <c r="AA55" t="b">
        <v>0</v>
      </c>
      <c r="AB55" t="b">
        <v>0</v>
      </c>
      <c r="AC55" t="s">
        <v>137</v>
      </c>
      <c r="AD55" s="1" t="s">
        <v>200</v>
      </c>
      <c r="AE55" s="1" t="s">
        <v>200</v>
      </c>
      <c r="AF55" t="s">
        <v>117</v>
      </c>
      <c r="AG55" t="s">
        <v>125</v>
      </c>
    </row>
    <row r="56" spans="1:33" x14ac:dyDescent="0.25">
      <c r="A56">
        <v>1</v>
      </c>
      <c r="B56">
        <v>1</v>
      </c>
      <c r="C56" t="s">
        <v>112</v>
      </c>
      <c r="D56" t="s">
        <v>113</v>
      </c>
      <c r="E56" t="s">
        <v>79</v>
      </c>
      <c r="F56" t="e" cm="1">
        <f t="array" ref="F56">+ Evidence quality</f>
        <v>#NAME?</v>
      </c>
      <c r="G56" t="s">
        <v>206</v>
      </c>
      <c r="H56">
        <v>0.7</v>
      </c>
      <c r="I56">
        <v>0.3</v>
      </c>
      <c r="J56">
        <v>0</v>
      </c>
      <c r="K56">
        <v>5</v>
      </c>
      <c r="L56" t="s">
        <v>139</v>
      </c>
      <c r="M56" t="s">
        <v>140</v>
      </c>
      <c r="N56" t="s">
        <v>141</v>
      </c>
      <c r="O56" t="s">
        <v>142</v>
      </c>
      <c r="P56" t="s">
        <v>143</v>
      </c>
      <c r="Q56" t="b">
        <v>0</v>
      </c>
      <c r="R56">
        <v>0.71662400000000004</v>
      </c>
      <c r="S56">
        <v>6.6040000000000001</v>
      </c>
      <c r="T56">
        <v>3.93</v>
      </c>
      <c r="U56">
        <v>0</v>
      </c>
      <c r="V56">
        <v>19</v>
      </c>
      <c r="W56">
        <v>19</v>
      </c>
      <c r="X56">
        <v>0.47606900000000002</v>
      </c>
      <c r="Y56" t="b">
        <v>0</v>
      </c>
      <c r="Z56" t="b">
        <v>0</v>
      </c>
      <c r="AA56" t="b">
        <v>0</v>
      </c>
      <c r="AB56" t="b">
        <v>0</v>
      </c>
      <c r="AC56" t="s">
        <v>144</v>
      </c>
      <c r="AD56" s="1" t="s">
        <v>209</v>
      </c>
      <c r="AE56" s="1" t="s">
        <v>209</v>
      </c>
      <c r="AF56" t="s">
        <v>141</v>
      </c>
      <c r="AG56" t="s">
        <v>143</v>
      </c>
    </row>
    <row r="57" spans="1:33" x14ac:dyDescent="0.25">
      <c r="A57">
        <v>1</v>
      </c>
      <c r="B57">
        <v>1</v>
      </c>
      <c r="C57" t="s">
        <v>112</v>
      </c>
      <c r="D57" t="s">
        <v>113</v>
      </c>
      <c r="E57" t="s">
        <v>79</v>
      </c>
      <c r="F57" t="e" cm="1">
        <f t="array" ref="F57">+ Evidence quality</f>
        <v>#NAME?</v>
      </c>
      <c r="G57" t="s">
        <v>206</v>
      </c>
      <c r="H57">
        <v>0.7</v>
      </c>
      <c r="I57">
        <v>0.3</v>
      </c>
      <c r="J57">
        <v>0</v>
      </c>
      <c r="K57">
        <v>6</v>
      </c>
      <c r="L57" t="s">
        <v>146</v>
      </c>
      <c r="M57" t="s">
        <v>147</v>
      </c>
      <c r="N57" t="s">
        <v>141</v>
      </c>
      <c r="O57" t="s">
        <v>148</v>
      </c>
      <c r="P57" t="s">
        <v>123</v>
      </c>
      <c r="Q57" t="b">
        <v>0</v>
      </c>
      <c r="R57">
        <v>0.72928400000000004</v>
      </c>
      <c r="S57">
        <v>4.8929999999999998</v>
      </c>
      <c r="T57">
        <v>2.5979999999999999</v>
      </c>
      <c r="U57">
        <v>0</v>
      </c>
      <c r="V57">
        <v>27</v>
      </c>
      <c r="W57">
        <v>20</v>
      </c>
      <c r="X57">
        <v>0.51224000000000003</v>
      </c>
      <c r="Y57" t="b">
        <v>0</v>
      </c>
      <c r="Z57" t="b">
        <v>0</v>
      </c>
      <c r="AA57" t="b">
        <v>0</v>
      </c>
      <c r="AB57" t="b">
        <v>0</v>
      </c>
      <c r="AC57" t="s">
        <v>149</v>
      </c>
      <c r="AD57" s="1" t="s">
        <v>210</v>
      </c>
      <c r="AE57" s="1" t="s">
        <v>210</v>
      </c>
      <c r="AF57" t="s">
        <v>141</v>
      </c>
      <c r="AG57" t="s">
        <v>123</v>
      </c>
    </row>
    <row r="58" spans="1:33" x14ac:dyDescent="0.25">
      <c r="A58">
        <v>1</v>
      </c>
      <c r="B58">
        <v>1</v>
      </c>
      <c r="C58" t="s">
        <v>112</v>
      </c>
      <c r="D58" t="s">
        <v>113</v>
      </c>
      <c r="E58" t="s">
        <v>79</v>
      </c>
      <c r="F58" t="e" cm="1">
        <f t="array" ref="F58">+ Evidence quality</f>
        <v>#NAME?</v>
      </c>
      <c r="G58" t="s">
        <v>206</v>
      </c>
      <c r="H58">
        <v>0.7</v>
      </c>
      <c r="I58">
        <v>0.3</v>
      </c>
      <c r="J58">
        <v>0</v>
      </c>
      <c r="K58">
        <v>7</v>
      </c>
      <c r="L58" t="s">
        <v>151</v>
      </c>
      <c r="M58" t="s">
        <v>152</v>
      </c>
      <c r="N58" t="s">
        <v>117</v>
      </c>
      <c r="O58" t="s">
        <v>153</v>
      </c>
      <c r="P58" t="s">
        <v>154</v>
      </c>
      <c r="Q58" t="b">
        <v>0</v>
      </c>
      <c r="R58">
        <v>0.73435600000000001</v>
      </c>
      <c r="S58">
        <v>5.2539999999999996</v>
      </c>
      <c r="T58">
        <v>2.6789999999999998</v>
      </c>
      <c r="U58">
        <v>0</v>
      </c>
      <c r="V58">
        <v>30</v>
      </c>
      <c r="W58">
        <v>20</v>
      </c>
      <c r="X58">
        <v>0.52673099999999995</v>
      </c>
      <c r="Y58" t="b">
        <v>0</v>
      </c>
      <c r="Z58" t="b">
        <v>0</v>
      </c>
      <c r="AA58" t="b">
        <v>0</v>
      </c>
      <c r="AB58" t="b">
        <v>0</v>
      </c>
      <c r="AC58" t="s">
        <v>155</v>
      </c>
      <c r="AD58" s="1" t="s">
        <v>211</v>
      </c>
      <c r="AE58" s="1" t="s">
        <v>211</v>
      </c>
      <c r="AF58" t="s">
        <v>117</v>
      </c>
      <c r="AG58" t="s">
        <v>154</v>
      </c>
    </row>
    <row r="59" spans="1:33" x14ac:dyDescent="0.25">
      <c r="A59">
        <v>1</v>
      </c>
      <c r="B59">
        <v>1</v>
      </c>
      <c r="C59" t="s">
        <v>112</v>
      </c>
      <c r="D59" t="s">
        <v>113</v>
      </c>
      <c r="E59" t="s">
        <v>79</v>
      </c>
      <c r="F59" t="e" cm="1">
        <f t="array" ref="F59">+ Evidence quality</f>
        <v>#NAME?</v>
      </c>
      <c r="G59" t="s">
        <v>206</v>
      </c>
      <c r="H59">
        <v>0.7</v>
      </c>
      <c r="I59">
        <v>0.3</v>
      </c>
      <c r="J59">
        <v>0</v>
      </c>
      <c r="K59">
        <v>8</v>
      </c>
      <c r="L59" t="s">
        <v>157</v>
      </c>
      <c r="M59" t="s">
        <v>158</v>
      </c>
      <c r="N59" t="s">
        <v>159</v>
      </c>
      <c r="O59" t="s">
        <v>160</v>
      </c>
      <c r="P59" t="s">
        <v>161</v>
      </c>
      <c r="Q59" t="b">
        <v>0</v>
      </c>
      <c r="R59">
        <v>0.72503499999999999</v>
      </c>
      <c r="S59">
        <v>6.7210000000000001</v>
      </c>
      <c r="T59">
        <v>2.319</v>
      </c>
      <c r="U59">
        <v>0</v>
      </c>
      <c r="V59">
        <v>10</v>
      </c>
      <c r="W59">
        <v>10</v>
      </c>
      <c r="X59">
        <v>0.50009899999999996</v>
      </c>
      <c r="Y59" t="b">
        <v>0</v>
      </c>
      <c r="Z59" t="b">
        <v>0</v>
      </c>
      <c r="AA59" t="b">
        <v>0</v>
      </c>
      <c r="AB59" t="b">
        <v>0</v>
      </c>
      <c r="AC59" t="s">
        <v>162</v>
      </c>
      <c r="AD59" s="1" t="s">
        <v>194</v>
      </c>
      <c r="AE59" s="1" t="s">
        <v>194</v>
      </c>
      <c r="AF59" t="s">
        <v>159</v>
      </c>
      <c r="AG59" t="s">
        <v>161</v>
      </c>
    </row>
    <row r="60" spans="1:33" x14ac:dyDescent="0.25">
      <c r="A60">
        <v>1</v>
      </c>
      <c r="B60">
        <v>1</v>
      </c>
      <c r="C60" t="s">
        <v>112</v>
      </c>
      <c r="D60" t="s">
        <v>113</v>
      </c>
      <c r="E60" t="s">
        <v>79</v>
      </c>
      <c r="F60" t="e" cm="1">
        <f t="array" ref="F60">+ Evidence quality</f>
        <v>#NAME?</v>
      </c>
      <c r="G60" t="s">
        <v>206</v>
      </c>
      <c r="H60">
        <v>0.7</v>
      </c>
      <c r="I60">
        <v>0.3</v>
      </c>
      <c r="J60">
        <v>0</v>
      </c>
      <c r="K60">
        <v>9</v>
      </c>
      <c r="L60" t="s">
        <v>164</v>
      </c>
      <c r="M60" t="s">
        <v>165</v>
      </c>
      <c r="N60" t="s">
        <v>117</v>
      </c>
      <c r="O60" t="s">
        <v>166</v>
      </c>
      <c r="P60" t="s">
        <v>161</v>
      </c>
      <c r="Q60" t="b">
        <v>0</v>
      </c>
      <c r="R60">
        <v>0.70343100000000003</v>
      </c>
      <c r="S60">
        <v>8.1170000000000009</v>
      </c>
      <c r="T60">
        <v>2.3450000000000002</v>
      </c>
      <c r="U60">
        <v>0</v>
      </c>
      <c r="V60">
        <v>12</v>
      </c>
      <c r="W60">
        <v>12</v>
      </c>
      <c r="X60">
        <v>0.43837500000000001</v>
      </c>
      <c r="Y60" t="b">
        <v>0</v>
      </c>
      <c r="Z60" t="b">
        <v>0</v>
      </c>
      <c r="AA60" t="b">
        <v>0</v>
      </c>
      <c r="AB60" t="b">
        <v>0</v>
      </c>
      <c r="AC60" t="s">
        <v>167</v>
      </c>
      <c r="AD60" s="1" t="s">
        <v>168</v>
      </c>
      <c r="AE60" s="1" t="s">
        <v>168</v>
      </c>
      <c r="AF60" t="s">
        <v>117</v>
      </c>
      <c r="AG60" t="s">
        <v>161</v>
      </c>
    </row>
    <row r="61" spans="1:33" x14ac:dyDescent="0.25">
      <c r="A61">
        <v>1</v>
      </c>
      <c r="B61">
        <v>1</v>
      </c>
      <c r="C61" t="s">
        <v>112</v>
      </c>
      <c r="D61" t="s">
        <v>113</v>
      </c>
      <c r="E61" t="s">
        <v>79</v>
      </c>
      <c r="F61" t="e" cm="1">
        <f t="array" ref="F61">+ Evidence quality</f>
        <v>#NAME?</v>
      </c>
      <c r="G61" t="s">
        <v>206</v>
      </c>
      <c r="H61">
        <v>0.7</v>
      </c>
      <c r="I61">
        <v>0.3</v>
      </c>
      <c r="J61">
        <v>0</v>
      </c>
      <c r="K61">
        <v>10</v>
      </c>
      <c r="L61" t="s">
        <v>169</v>
      </c>
      <c r="M61" t="s">
        <v>170</v>
      </c>
      <c r="N61" t="s">
        <v>117</v>
      </c>
      <c r="O61" t="s">
        <v>171</v>
      </c>
      <c r="P61" t="s">
        <v>161</v>
      </c>
      <c r="Q61" t="b">
        <v>0</v>
      </c>
      <c r="R61">
        <v>0.71475999999999995</v>
      </c>
      <c r="S61">
        <v>11.276</v>
      </c>
      <c r="T61">
        <v>9.2249999999999996</v>
      </c>
      <c r="U61">
        <v>0</v>
      </c>
      <c r="V61">
        <v>23</v>
      </c>
      <c r="W61">
        <v>20</v>
      </c>
      <c r="X61">
        <v>0.47074199999999999</v>
      </c>
      <c r="Y61" t="b">
        <v>0</v>
      </c>
      <c r="Z61" t="b">
        <v>0</v>
      </c>
      <c r="AA61" t="b">
        <v>0</v>
      </c>
      <c r="AB61" t="b">
        <v>0</v>
      </c>
      <c r="AC61" t="s">
        <v>172</v>
      </c>
      <c r="AD61" s="1" t="s">
        <v>196</v>
      </c>
      <c r="AE61" s="1" t="s">
        <v>196</v>
      </c>
      <c r="AF61" t="s">
        <v>117</v>
      </c>
      <c r="AG61" t="s">
        <v>161</v>
      </c>
    </row>
    <row r="62" spans="1:33" x14ac:dyDescent="0.25">
      <c r="A62">
        <v>2</v>
      </c>
      <c r="B62">
        <v>1</v>
      </c>
      <c r="C62" t="s">
        <v>112</v>
      </c>
      <c r="D62" t="s">
        <v>113</v>
      </c>
      <c r="E62" t="s">
        <v>79</v>
      </c>
      <c r="F62" t="e" cm="1">
        <f t="array" ref="F62">+ Evidence quality</f>
        <v>#NAME?</v>
      </c>
      <c r="G62" t="s">
        <v>206</v>
      </c>
      <c r="H62">
        <v>0.7</v>
      </c>
      <c r="I62">
        <v>0.3</v>
      </c>
      <c r="J62">
        <v>0</v>
      </c>
      <c r="K62">
        <v>1</v>
      </c>
      <c r="L62" t="s">
        <v>115</v>
      </c>
      <c r="M62" t="s">
        <v>116</v>
      </c>
      <c r="N62" t="s">
        <v>117</v>
      </c>
      <c r="O62" t="s">
        <v>118</v>
      </c>
      <c r="P62" t="s">
        <v>117</v>
      </c>
      <c r="Q62" t="b">
        <v>1</v>
      </c>
      <c r="R62">
        <v>0.73393600000000003</v>
      </c>
      <c r="S62">
        <v>4.2839999999999998</v>
      </c>
      <c r="T62">
        <v>2.4470000000000001</v>
      </c>
      <c r="U62">
        <v>0</v>
      </c>
      <c r="V62">
        <v>27</v>
      </c>
      <c r="W62">
        <v>20</v>
      </c>
      <c r="X62">
        <v>0.525532</v>
      </c>
      <c r="Y62" t="b">
        <v>0</v>
      </c>
      <c r="Z62" t="b">
        <v>0</v>
      </c>
      <c r="AA62" t="b">
        <v>0</v>
      </c>
      <c r="AB62" t="b">
        <v>0</v>
      </c>
      <c r="AC62" t="s">
        <v>119</v>
      </c>
      <c r="AD62" s="1" t="s">
        <v>181</v>
      </c>
      <c r="AE62" s="1" t="s">
        <v>181</v>
      </c>
      <c r="AF62" t="s">
        <v>117</v>
      </c>
      <c r="AG62" t="s">
        <v>117</v>
      </c>
    </row>
    <row r="63" spans="1:33" x14ac:dyDescent="0.25">
      <c r="A63">
        <v>2</v>
      </c>
      <c r="B63">
        <v>1</v>
      </c>
      <c r="C63" t="s">
        <v>112</v>
      </c>
      <c r="D63" t="s">
        <v>113</v>
      </c>
      <c r="E63" t="s">
        <v>79</v>
      </c>
      <c r="F63" t="e" cm="1">
        <f t="array" ref="F63">+ Evidence quality</f>
        <v>#NAME?</v>
      </c>
      <c r="G63" t="s">
        <v>206</v>
      </c>
      <c r="H63">
        <v>0.7</v>
      </c>
      <c r="I63">
        <v>0.3</v>
      </c>
      <c r="J63">
        <v>0</v>
      </c>
      <c r="K63">
        <v>2</v>
      </c>
      <c r="L63" t="s">
        <v>121</v>
      </c>
      <c r="M63" t="s">
        <v>122</v>
      </c>
      <c r="N63" t="s">
        <v>123</v>
      </c>
      <c r="O63" t="s">
        <v>124</v>
      </c>
      <c r="P63" t="s">
        <v>125</v>
      </c>
      <c r="Q63" t="b">
        <v>0</v>
      </c>
      <c r="R63">
        <v>0.70201899999999995</v>
      </c>
      <c r="S63">
        <v>4.226</v>
      </c>
      <c r="T63">
        <v>2.242</v>
      </c>
      <c r="U63">
        <v>0</v>
      </c>
      <c r="V63">
        <v>16</v>
      </c>
      <c r="W63">
        <v>16</v>
      </c>
      <c r="X63">
        <v>0.43433899999999998</v>
      </c>
      <c r="Y63" t="b">
        <v>0</v>
      </c>
      <c r="Z63" t="b">
        <v>0</v>
      </c>
      <c r="AA63" t="b">
        <v>0</v>
      </c>
      <c r="AB63" t="b">
        <v>0</v>
      </c>
      <c r="AC63" t="s">
        <v>126</v>
      </c>
      <c r="AD63" s="1" t="s">
        <v>212</v>
      </c>
      <c r="AE63" s="1" t="s">
        <v>212</v>
      </c>
      <c r="AF63" t="s">
        <v>123</v>
      </c>
      <c r="AG63" t="s">
        <v>125</v>
      </c>
    </row>
    <row r="64" spans="1:33" x14ac:dyDescent="0.25">
      <c r="A64">
        <v>2</v>
      </c>
      <c r="B64">
        <v>1</v>
      </c>
      <c r="C64" t="s">
        <v>112</v>
      </c>
      <c r="D64" t="s">
        <v>113</v>
      </c>
      <c r="E64" t="s">
        <v>79</v>
      </c>
      <c r="F64" t="e" cm="1">
        <f t="array" ref="F64">+ Evidence quality</f>
        <v>#NAME?</v>
      </c>
      <c r="G64" t="s">
        <v>206</v>
      </c>
      <c r="H64">
        <v>0.7</v>
      </c>
      <c r="I64">
        <v>0.3</v>
      </c>
      <c r="J64">
        <v>0</v>
      </c>
      <c r="K64">
        <v>3</v>
      </c>
      <c r="L64" t="s">
        <v>128</v>
      </c>
      <c r="M64" t="s">
        <v>129</v>
      </c>
      <c r="N64" t="s">
        <v>117</v>
      </c>
      <c r="O64" t="s">
        <v>130</v>
      </c>
      <c r="P64" t="s">
        <v>131</v>
      </c>
      <c r="Q64" t="b">
        <v>0</v>
      </c>
      <c r="R64">
        <v>0.70612900000000001</v>
      </c>
      <c r="S64">
        <v>4.6859999999999999</v>
      </c>
      <c r="T64">
        <v>2.64</v>
      </c>
      <c r="U64">
        <v>0</v>
      </c>
      <c r="V64">
        <v>17</v>
      </c>
      <c r="W64">
        <v>17</v>
      </c>
      <c r="X64">
        <v>0.44608300000000001</v>
      </c>
      <c r="Y64" t="b">
        <v>0</v>
      </c>
      <c r="Z64" t="b">
        <v>0</v>
      </c>
      <c r="AA64" t="b">
        <v>0</v>
      </c>
      <c r="AB64" t="b">
        <v>0</v>
      </c>
      <c r="AC64" t="s">
        <v>132</v>
      </c>
      <c r="AD64" s="1" t="s">
        <v>213</v>
      </c>
      <c r="AE64" s="1" t="s">
        <v>213</v>
      </c>
      <c r="AF64" t="s">
        <v>117</v>
      </c>
      <c r="AG64" t="s">
        <v>131</v>
      </c>
    </row>
    <row r="65" spans="1:33" x14ac:dyDescent="0.25">
      <c r="A65">
        <v>2</v>
      </c>
      <c r="B65">
        <v>1</v>
      </c>
      <c r="C65" t="s">
        <v>112</v>
      </c>
      <c r="D65" t="s">
        <v>113</v>
      </c>
      <c r="E65" t="s">
        <v>79</v>
      </c>
      <c r="F65" t="e" cm="1">
        <f t="array" ref="F65">+ Evidence quality</f>
        <v>#NAME?</v>
      </c>
      <c r="G65" t="s">
        <v>206</v>
      </c>
      <c r="H65">
        <v>0.7</v>
      </c>
      <c r="I65">
        <v>0.3</v>
      </c>
      <c r="J65">
        <v>0</v>
      </c>
      <c r="K65">
        <v>4</v>
      </c>
      <c r="L65" t="s">
        <v>134</v>
      </c>
      <c r="M65" t="s">
        <v>135</v>
      </c>
      <c r="N65" t="s">
        <v>117</v>
      </c>
      <c r="O65" t="s">
        <v>136</v>
      </c>
      <c r="P65" t="s">
        <v>125</v>
      </c>
      <c r="Q65" t="b">
        <v>0</v>
      </c>
      <c r="R65">
        <v>0.71750800000000003</v>
      </c>
      <c r="S65">
        <v>5.2119999999999997</v>
      </c>
      <c r="T65">
        <v>3.3780000000000001</v>
      </c>
      <c r="U65">
        <v>0</v>
      </c>
      <c r="V65">
        <v>22</v>
      </c>
      <c r="W65">
        <v>20</v>
      </c>
      <c r="X65">
        <v>0.47859499999999999</v>
      </c>
      <c r="Y65" t="b">
        <v>0</v>
      </c>
      <c r="Z65" t="b">
        <v>0</v>
      </c>
      <c r="AA65" t="b">
        <v>0</v>
      </c>
      <c r="AB65" t="b">
        <v>0</v>
      </c>
      <c r="AC65" t="s">
        <v>137</v>
      </c>
      <c r="AD65" s="1" t="s">
        <v>184</v>
      </c>
      <c r="AE65" s="1" t="s">
        <v>184</v>
      </c>
      <c r="AF65" t="s">
        <v>117</v>
      </c>
      <c r="AG65" t="s">
        <v>125</v>
      </c>
    </row>
    <row r="66" spans="1:33" x14ac:dyDescent="0.25">
      <c r="A66">
        <v>2</v>
      </c>
      <c r="B66">
        <v>1</v>
      </c>
      <c r="C66" t="s">
        <v>112</v>
      </c>
      <c r="D66" t="s">
        <v>113</v>
      </c>
      <c r="E66" t="s">
        <v>79</v>
      </c>
      <c r="F66" t="e" cm="1">
        <f t="array" ref="F66">+ Evidence quality</f>
        <v>#NAME?</v>
      </c>
      <c r="G66" t="s">
        <v>206</v>
      </c>
      <c r="H66">
        <v>0.7</v>
      </c>
      <c r="I66">
        <v>0.3</v>
      </c>
      <c r="J66">
        <v>0</v>
      </c>
      <c r="K66">
        <v>5</v>
      </c>
      <c r="L66" t="s">
        <v>139</v>
      </c>
      <c r="M66" t="s">
        <v>140</v>
      </c>
      <c r="N66" t="s">
        <v>141</v>
      </c>
      <c r="O66" t="s">
        <v>142</v>
      </c>
      <c r="P66" t="s">
        <v>143</v>
      </c>
      <c r="Q66" t="b">
        <v>0</v>
      </c>
      <c r="R66">
        <v>0.71662400000000004</v>
      </c>
      <c r="S66">
        <v>5.1459999999999999</v>
      </c>
      <c r="T66">
        <v>2.5939999999999999</v>
      </c>
      <c r="U66">
        <v>0</v>
      </c>
      <c r="V66">
        <v>19</v>
      </c>
      <c r="W66">
        <v>19</v>
      </c>
      <c r="X66">
        <v>0.47606999999999999</v>
      </c>
      <c r="Y66" t="b">
        <v>0</v>
      </c>
      <c r="Z66" t="b">
        <v>0</v>
      </c>
      <c r="AA66" t="b">
        <v>0</v>
      </c>
      <c r="AB66" t="b">
        <v>0</v>
      </c>
      <c r="AC66" t="s">
        <v>144</v>
      </c>
      <c r="AD66" s="1" t="s">
        <v>214</v>
      </c>
      <c r="AE66" s="1" t="s">
        <v>214</v>
      </c>
      <c r="AF66" t="s">
        <v>141</v>
      </c>
      <c r="AG66" t="s">
        <v>143</v>
      </c>
    </row>
    <row r="67" spans="1:33" x14ac:dyDescent="0.25">
      <c r="A67">
        <v>2</v>
      </c>
      <c r="B67">
        <v>1</v>
      </c>
      <c r="C67" t="s">
        <v>112</v>
      </c>
      <c r="D67" t="s">
        <v>113</v>
      </c>
      <c r="E67" t="s">
        <v>79</v>
      </c>
      <c r="F67" t="e" cm="1">
        <f t="array" ref="F67">+ Evidence quality</f>
        <v>#NAME?</v>
      </c>
      <c r="G67" t="s">
        <v>206</v>
      </c>
      <c r="H67">
        <v>0.7</v>
      </c>
      <c r="I67">
        <v>0.3</v>
      </c>
      <c r="J67">
        <v>0</v>
      </c>
      <c r="K67">
        <v>6</v>
      </c>
      <c r="L67" t="s">
        <v>146</v>
      </c>
      <c r="M67" t="s">
        <v>147</v>
      </c>
      <c r="N67" t="s">
        <v>141</v>
      </c>
      <c r="O67" t="s">
        <v>148</v>
      </c>
      <c r="P67" t="s">
        <v>141</v>
      </c>
      <c r="Q67" t="b">
        <v>1</v>
      </c>
      <c r="R67">
        <v>0.72928499999999996</v>
      </c>
      <c r="S67">
        <v>5.2309999999999999</v>
      </c>
      <c r="T67">
        <v>2.371</v>
      </c>
      <c r="U67">
        <v>0</v>
      </c>
      <c r="V67">
        <v>27</v>
      </c>
      <c r="W67">
        <v>20</v>
      </c>
      <c r="X67">
        <v>0.51224199999999998</v>
      </c>
      <c r="Y67" t="b">
        <v>0</v>
      </c>
      <c r="Z67" t="b">
        <v>0</v>
      </c>
      <c r="AA67" t="b">
        <v>0</v>
      </c>
      <c r="AB67" t="b">
        <v>0</v>
      </c>
      <c r="AC67" t="s">
        <v>149</v>
      </c>
      <c r="AD67" s="1" t="s">
        <v>215</v>
      </c>
      <c r="AE67" s="1" t="s">
        <v>215</v>
      </c>
      <c r="AF67" t="s">
        <v>141</v>
      </c>
      <c r="AG67" t="s">
        <v>141</v>
      </c>
    </row>
    <row r="68" spans="1:33" x14ac:dyDescent="0.25">
      <c r="A68">
        <v>2</v>
      </c>
      <c r="B68">
        <v>1</v>
      </c>
      <c r="C68" t="s">
        <v>112</v>
      </c>
      <c r="D68" t="s">
        <v>113</v>
      </c>
      <c r="E68" t="s">
        <v>79</v>
      </c>
      <c r="F68" t="e" cm="1">
        <f t="array" ref="F68">+ Evidence quality</f>
        <v>#NAME?</v>
      </c>
      <c r="G68" t="s">
        <v>206</v>
      </c>
      <c r="H68">
        <v>0.7</v>
      </c>
      <c r="I68">
        <v>0.3</v>
      </c>
      <c r="J68">
        <v>0</v>
      </c>
      <c r="K68">
        <v>7</v>
      </c>
      <c r="L68" t="s">
        <v>151</v>
      </c>
      <c r="M68" t="s">
        <v>152</v>
      </c>
      <c r="N68" t="s">
        <v>117</v>
      </c>
      <c r="O68" t="s">
        <v>153</v>
      </c>
      <c r="P68" t="s">
        <v>154</v>
      </c>
      <c r="Q68" t="b">
        <v>0</v>
      </c>
      <c r="R68">
        <v>0.73435600000000001</v>
      </c>
      <c r="S68">
        <v>5.2690000000000001</v>
      </c>
      <c r="T68">
        <v>2.399</v>
      </c>
      <c r="U68">
        <v>0</v>
      </c>
      <c r="V68">
        <v>30</v>
      </c>
      <c r="W68">
        <v>20</v>
      </c>
      <c r="X68">
        <v>0.52673099999999995</v>
      </c>
      <c r="Y68" t="b">
        <v>0</v>
      </c>
      <c r="Z68" t="b">
        <v>0</v>
      </c>
      <c r="AA68" t="b">
        <v>0</v>
      </c>
      <c r="AB68" t="b">
        <v>0</v>
      </c>
      <c r="AC68" t="s">
        <v>155</v>
      </c>
      <c r="AD68" s="1" t="s">
        <v>216</v>
      </c>
      <c r="AE68" s="1" t="s">
        <v>216</v>
      </c>
      <c r="AF68" t="s">
        <v>117</v>
      </c>
      <c r="AG68" t="s">
        <v>154</v>
      </c>
    </row>
    <row r="69" spans="1:33" x14ac:dyDescent="0.25">
      <c r="A69">
        <v>2</v>
      </c>
      <c r="B69">
        <v>1</v>
      </c>
      <c r="C69" t="s">
        <v>112</v>
      </c>
      <c r="D69" t="s">
        <v>113</v>
      </c>
      <c r="E69" t="s">
        <v>79</v>
      </c>
      <c r="F69" t="e" cm="1">
        <f t="array" ref="F69">+ Evidence quality</f>
        <v>#NAME?</v>
      </c>
      <c r="G69" t="s">
        <v>206</v>
      </c>
      <c r="H69">
        <v>0.7</v>
      </c>
      <c r="I69">
        <v>0.3</v>
      </c>
      <c r="J69">
        <v>0</v>
      </c>
      <c r="K69">
        <v>8</v>
      </c>
      <c r="L69" t="s">
        <v>157</v>
      </c>
      <c r="M69" t="s">
        <v>158</v>
      </c>
      <c r="N69" t="s">
        <v>159</v>
      </c>
      <c r="O69" t="s">
        <v>160</v>
      </c>
      <c r="P69" t="s">
        <v>161</v>
      </c>
      <c r="Q69" t="b">
        <v>0</v>
      </c>
      <c r="R69">
        <v>0.72503600000000001</v>
      </c>
      <c r="S69">
        <v>5.0330000000000004</v>
      </c>
      <c r="T69">
        <v>2.5369999999999999</v>
      </c>
      <c r="U69">
        <v>0</v>
      </c>
      <c r="V69">
        <v>10</v>
      </c>
      <c r="W69">
        <v>10</v>
      </c>
      <c r="X69">
        <v>0.50010399999999999</v>
      </c>
      <c r="Y69" t="b">
        <v>0</v>
      </c>
      <c r="Z69" t="b">
        <v>0</v>
      </c>
      <c r="AA69" t="b">
        <v>0</v>
      </c>
      <c r="AB69" t="b">
        <v>0</v>
      </c>
      <c r="AC69" t="s">
        <v>162</v>
      </c>
      <c r="AD69" s="1" t="s">
        <v>204</v>
      </c>
      <c r="AE69" s="1" t="s">
        <v>204</v>
      </c>
      <c r="AF69" t="s">
        <v>159</v>
      </c>
      <c r="AG69" t="s">
        <v>161</v>
      </c>
    </row>
    <row r="70" spans="1:33" x14ac:dyDescent="0.25">
      <c r="A70">
        <v>2</v>
      </c>
      <c r="B70">
        <v>1</v>
      </c>
      <c r="C70" t="s">
        <v>112</v>
      </c>
      <c r="D70" t="s">
        <v>113</v>
      </c>
      <c r="E70" t="s">
        <v>79</v>
      </c>
      <c r="F70" t="e" cm="1">
        <f t="array" ref="F70">+ Evidence quality</f>
        <v>#NAME?</v>
      </c>
      <c r="G70" t="s">
        <v>206</v>
      </c>
      <c r="H70">
        <v>0.7</v>
      </c>
      <c r="I70">
        <v>0.3</v>
      </c>
      <c r="J70">
        <v>0</v>
      </c>
      <c r="K70">
        <v>9</v>
      </c>
      <c r="L70" t="s">
        <v>164</v>
      </c>
      <c r="M70" t="s">
        <v>165</v>
      </c>
      <c r="N70" t="s">
        <v>117</v>
      </c>
      <c r="O70" t="s">
        <v>166</v>
      </c>
      <c r="P70" t="s">
        <v>161</v>
      </c>
      <c r="Q70" t="b">
        <v>0</v>
      </c>
      <c r="R70">
        <v>0.70343500000000003</v>
      </c>
      <c r="S70">
        <v>4.3949999999999996</v>
      </c>
      <c r="T70">
        <v>2.3519999999999999</v>
      </c>
      <c r="U70">
        <v>0</v>
      </c>
      <c r="V70">
        <v>12</v>
      </c>
      <c r="W70">
        <v>12</v>
      </c>
      <c r="X70">
        <v>0.43838500000000002</v>
      </c>
      <c r="Y70" t="b">
        <v>0</v>
      </c>
      <c r="Z70" t="b">
        <v>0</v>
      </c>
      <c r="AA70" t="b">
        <v>0</v>
      </c>
      <c r="AB70" t="b">
        <v>0</v>
      </c>
      <c r="AC70" t="s">
        <v>167</v>
      </c>
      <c r="AD70" s="1" t="s">
        <v>205</v>
      </c>
      <c r="AE70" s="1" t="s">
        <v>205</v>
      </c>
      <c r="AF70" t="s">
        <v>117</v>
      </c>
      <c r="AG70" t="s">
        <v>161</v>
      </c>
    </row>
    <row r="71" spans="1:33" x14ac:dyDescent="0.25">
      <c r="A71">
        <v>2</v>
      </c>
      <c r="B71">
        <v>1</v>
      </c>
      <c r="C71" t="s">
        <v>112</v>
      </c>
      <c r="D71" t="s">
        <v>113</v>
      </c>
      <c r="E71" t="s">
        <v>79</v>
      </c>
      <c r="F71" t="e" cm="1">
        <f t="array" ref="F71">+ Evidence quality</f>
        <v>#NAME?</v>
      </c>
      <c r="G71" t="s">
        <v>206</v>
      </c>
      <c r="H71">
        <v>0.7</v>
      </c>
      <c r="I71">
        <v>0.3</v>
      </c>
      <c r="J71">
        <v>0</v>
      </c>
      <c r="K71">
        <v>10</v>
      </c>
      <c r="L71" t="s">
        <v>169</v>
      </c>
      <c r="M71" t="s">
        <v>170</v>
      </c>
      <c r="N71" t="s">
        <v>117</v>
      </c>
      <c r="O71" t="s">
        <v>171</v>
      </c>
      <c r="P71" t="s">
        <v>161</v>
      </c>
      <c r="Q71" t="b">
        <v>0</v>
      </c>
      <c r="R71">
        <v>0.71476300000000004</v>
      </c>
      <c r="S71">
        <v>4.09</v>
      </c>
      <c r="T71">
        <v>2.44</v>
      </c>
      <c r="U71">
        <v>0</v>
      </c>
      <c r="V71">
        <v>23</v>
      </c>
      <c r="W71">
        <v>20</v>
      </c>
      <c r="X71">
        <v>0.47075099999999998</v>
      </c>
      <c r="Y71" t="b">
        <v>0</v>
      </c>
      <c r="Z71" t="b">
        <v>0</v>
      </c>
      <c r="AA71" t="b">
        <v>0</v>
      </c>
      <c r="AB71" t="b">
        <v>0</v>
      </c>
      <c r="AC71" t="s">
        <v>172</v>
      </c>
      <c r="AD71" s="1" t="s">
        <v>173</v>
      </c>
      <c r="AE71" s="1" t="s">
        <v>173</v>
      </c>
      <c r="AF71" t="s">
        <v>117</v>
      </c>
      <c r="AG71" t="s">
        <v>161</v>
      </c>
    </row>
    <row r="72" spans="1:33" x14ac:dyDescent="0.25">
      <c r="A72">
        <v>3</v>
      </c>
      <c r="B72">
        <v>1</v>
      </c>
      <c r="C72" t="s">
        <v>112</v>
      </c>
      <c r="D72" t="s">
        <v>113</v>
      </c>
      <c r="E72" t="s">
        <v>79</v>
      </c>
      <c r="F72" t="e" cm="1">
        <f t="array" ref="F72">+ Evidence quality</f>
        <v>#NAME?</v>
      </c>
      <c r="G72" t="s">
        <v>206</v>
      </c>
      <c r="H72">
        <v>0.7</v>
      </c>
      <c r="I72">
        <v>0.3</v>
      </c>
      <c r="J72">
        <v>0</v>
      </c>
      <c r="K72">
        <v>1</v>
      </c>
      <c r="L72" t="s">
        <v>115</v>
      </c>
      <c r="M72" t="s">
        <v>116</v>
      </c>
      <c r="N72" t="s">
        <v>117</v>
      </c>
      <c r="O72" t="s">
        <v>118</v>
      </c>
      <c r="P72" t="s">
        <v>117</v>
      </c>
      <c r="Q72" t="b">
        <v>1</v>
      </c>
      <c r="R72">
        <v>0.73393399999999998</v>
      </c>
      <c r="S72">
        <v>4.3029999999999999</v>
      </c>
      <c r="T72">
        <v>2.2410000000000001</v>
      </c>
      <c r="U72">
        <v>0</v>
      </c>
      <c r="V72">
        <v>27</v>
      </c>
      <c r="W72">
        <v>20</v>
      </c>
      <c r="X72">
        <v>0.52552699999999997</v>
      </c>
      <c r="Y72" t="b">
        <v>0</v>
      </c>
      <c r="Z72" t="b">
        <v>0</v>
      </c>
      <c r="AA72" t="b">
        <v>0</v>
      </c>
      <c r="AB72" t="b">
        <v>0</v>
      </c>
      <c r="AC72" t="s">
        <v>119</v>
      </c>
      <c r="AD72" s="1" t="s">
        <v>217</v>
      </c>
      <c r="AE72" s="1" t="s">
        <v>217</v>
      </c>
      <c r="AF72" t="s">
        <v>117</v>
      </c>
      <c r="AG72" t="s">
        <v>117</v>
      </c>
    </row>
    <row r="73" spans="1:33" x14ac:dyDescent="0.25">
      <c r="A73">
        <v>3</v>
      </c>
      <c r="B73">
        <v>1</v>
      </c>
      <c r="C73" t="s">
        <v>112</v>
      </c>
      <c r="D73" t="s">
        <v>113</v>
      </c>
      <c r="E73" t="s">
        <v>79</v>
      </c>
      <c r="F73" t="e" cm="1">
        <f t="array" ref="F73">+ Evidence quality</f>
        <v>#NAME?</v>
      </c>
      <c r="G73" t="s">
        <v>206</v>
      </c>
      <c r="H73">
        <v>0.7</v>
      </c>
      <c r="I73">
        <v>0.3</v>
      </c>
      <c r="J73">
        <v>0</v>
      </c>
      <c r="K73">
        <v>2</v>
      </c>
      <c r="L73" t="s">
        <v>121</v>
      </c>
      <c r="M73" t="s">
        <v>122</v>
      </c>
      <c r="N73" t="s">
        <v>123</v>
      </c>
      <c r="O73" t="s">
        <v>124</v>
      </c>
      <c r="P73" t="s">
        <v>125</v>
      </c>
      <c r="Q73" t="b">
        <v>0</v>
      </c>
      <c r="R73">
        <v>0.70201899999999995</v>
      </c>
      <c r="S73">
        <v>4.4450000000000003</v>
      </c>
      <c r="T73">
        <v>2.4209999999999998</v>
      </c>
      <c r="U73">
        <v>0</v>
      </c>
      <c r="V73">
        <v>16</v>
      </c>
      <c r="W73">
        <v>16</v>
      </c>
      <c r="X73">
        <v>0.43433899999999998</v>
      </c>
      <c r="Y73" t="b">
        <v>0</v>
      </c>
      <c r="Z73" t="b">
        <v>0</v>
      </c>
      <c r="AA73" t="b">
        <v>0</v>
      </c>
      <c r="AB73" t="b">
        <v>0</v>
      </c>
      <c r="AC73" t="s">
        <v>126</v>
      </c>
      <c r="AD73" s="1" t="s">
        <v>175</v>
      </c>
      <c r="AE73" s="1" t="s">
        <v>175</v>
      </c>
      <c r="AF73" t="s">
        <v>123</v>
      </c>
      <c r="AG73" t="s">
        <v>125</v>
      </c>
    </row>
    <row r="74" spans="1:33" x14ac:dyDescent="0.25">
      <c r="A74">
        <v>3</v>
      </c>
      <c r="B74">
        <v>1</v>
      </c>
      <c r="C74" t="s">
        <v>112</v>
      </c>
      <c r="D74" t="s">
        <v>113</v>
      </c>
      <c r="E74" t="s">
        <v>79</v>
      </c>
      <c r="F74" t="e" cm="1">
        <f t="array" ref="F74">+ Evidence quality</f>
        <v>#NAME?</v>
      </c>
      <c r="G74" t="s">
        <v>206</v>
      </c>
      <c r="H74">
        <v>0.7</v>
      </c>
      <c r="I74">
        <v>0.3</v>
      </c>
      <c r="J74">
        <v>0</v>
      </c>
      <c r="K74">
        <v>3</v>
      </c>
      <c r="L74" t="s">
        <v>128</v>
      </c>
      <c r="M74" t="s">
        <v>129</v>
      </c>
      <c r="N74" t="s">
        <v>117</v>
      </c>
      <c r="O74" t="s">
        <v>130</v>
      </c>
      <c r="P74" t="s">
        <v>131</v>
      </c>
      <c r="Q74" t="b">
        <v>0</v>
      </c>
      <c r="R74">
        <v>0.70613199999999998</v>
      </c>
      <c r="S74">
        <v>4.0970000000000004</v>
      </c>
      <c r="T74">
        <v>2.3420000000000001</v>
      </c>
      <c r="U74">
        <v>0</v>
      </c>
      <c r="V74">
        <v>17</v>
      </c>
      <c r="W74">
        <v>17</v>
      </c>
      <c r="X74">
        <v>0.44609100000000002</v>
      </c>
      <c r="Y74" t="b">
        <v>0</v>
      </c>
      <c r="Z74" t="b">
        <v>0</v>
      </c>
      <c r="AA74" t="b">
        <v>0</v>
      </c>
      <c r="AB74" t="b">
        <v>0</v>
      </c>
      <c r="AC74" t="s">
        <v>132</v>
      </c>
      <c r="AD74" s="1" t="s">
        <v>176</v>
      </c>
      <c r="AE74" s="1" t="s">
        <v>176</v>
      </c>
      <c r="AF74" t="s">
        <v>117</v>
      </c>
      <c r="AG74" t="s">
        <v>131</v>
      </c>
    </row>
    <row r="75" spans="1:33" x14ac:dyDescent="0.25">
      <c r="A75">
        <v>3</v>
      </c>
      <c r="B75">
        <v>1</v>
      </c>
      <c r="C75" t="s">
        <v>112</v>
      </c>
      <c r="D75" t="s">
        <v>113</v>
      </c>
      <c r="E75" t="s">
        <v>79</v>
      </c>
      <c r="F75" t="e" cm="1">
        <f t="array" ref="F75">+ Evidence quality</f>
        <v>#NAME?</v>
      </c>
      <c r="G75" t="s">
        <v>206</v>
      </c>
      <c r="H75">
        <v>0.7</v>
      </c>
      <c r="I75">
        <v>0.3</v>
      </c>
      <c r="J75">
        <v>0</v>
      </c>
      <c r="K75">
        <v>4</v>
      </c>
      <c r="L75" t="s">
        <v>134</v>
      </c>
      <c r="M75" t="s">
        <v>135</v>
      </c>
      <c r="N75" t="s">
        <v>117</v>
      </c>
      <c r="O75" t="s">
        <v>136</v>
      </c>
      <c r="P75" t="s">
        <v>125</v>
      </c>
      <c r="Q75" t="b">
        <v>0</v>
      </c>
      <c r="R75">
        <v>0.71750800000000003</v>
      </c>
      <c r="S75">
        <v>4.2370000000000001</v>
      </c>
      <c r="T75">
        <v>2.4630000000000001</v>
      </c>
      <c r="U75">
        <v>0</v>
      </c>
      <c r="V75">
        <v>22</v>
      </c>
      <c r="W75">
        <v>20</v>
      </c>
      <c r="X75">
        <v>0.47859499999999999</v>
      </c>
      <c r="Y75" t="b">
        <v>0</v>
      </c>
      <c r="Z75" t="b">
        <v>0</v>
      </c>
      <c r="AA75" t="b">
        <v>0</v>
      </c>
      <c r="AB75" t="b">
        <v>0</v>
      </c>
      <c r="AC75" t="s">
        <v>137</v>
      </c>
      <c r="AD75" s="1" t="s">
        <v>191</v>
      </c>
      <c r="AE75" s="1" t="s">
        <v>191</v>
      </c>
      <c r="AF75" t="s">
        <v>117</v>
      </c>
      <c r="AG75" t="s">
        <v>125</v>
      </c>
    </row>
    <row r="76" spans="1:33" x14ac:dyDescent="0.25">
      <c r="A76">
        <v>3</v>
      </c>
      <c r="B76">
        <v>1</v>
      </c>
      <c r="C76" t="s">
        <v>112</v>
      </c>
      <c r="D76" t="s">
        <v>113</v>
      </c>
      <c r="E76" t="s">
        <v>79</v>
      </c>
      <c r="F76" t="e" cm="1">
        <f t="array" ref="F76">+ Evidence quality</f>
        <v>#NAME?</v>
      </c>
      <c r="G76" t="s">
        <v>206</v>
      </c>
      <c r="H76">
        <v>0.7</v>
      </c>
      <c r="I76">
        <v>0.3</v>
      </c>
      <c r="J76">
        <v>0</v>
      </c>
      <c r="K76">
        <v>5</v>
      </c>
      <c r="L76" t="s">
        <v>139</v>
      </c>
      <c r="M76" t="s">
        <v>140</v>
      </c>
      <c r="N76" t="s">
        <v>141</v>
      </c>
      <c r="O76" t="s">
        <v>142</v>
      </c>
      <c r="P76" t="s">
        <v>143</v>
      </c>
      <c r="Q76" t="b">
        <v>0</v>
      </c>
      <c r="R76">
        <v>0.71662499999999996</v>
      </c>
      <c r="S76">
        <v>5.2240000000000002</v>
      </c>
      <c r="T76">
        <v>2.9870000000000001</v>
      </c>
      <c r="U76">
        <v>0</v>
      </c>
      <c r="V76">
        <v>19</v>
      </c>
      <c r="W76">
        <v>19</v>
      </c>
      <c r="X76">
        <v>0.47607100000000002</v>
      </c>
      <c r="Y76" t="b">
        <v>0</v>
      </c>
      <c r="Z76" t="b">
        <v>0</v>
      </c>
      <c r="AA76" t="b">
        <v>0</v>
      </c>
      <c r="AB76" t="b">
        <v>0</v>
      </c>
      <c r="AC76" t="s">
        <v>144</v>
      </c>
      <c r="AD76" s="1" t="s">
        <v>218</v>
      </c>
      <c r="AE76" s="1" t="s">
        <v>218</v>
      </c>
      <c r="AF76" t="s">
        <v>141</v>
      </c>
      <c r="AG76" t="s">
        <v>143</v>
      </c>
    </row>
    <row r="77" spans="1:33" x14ac:dyDescent="0.25">
      <c r="A77">
        <v>3</v>
      </c>
      <c r="B77">
        <v>1</v>
      </c>
      <c r="C77" t="s">
        <v>112</v>
      </c>
      <c r="D77" t="s">
        <v>113</v>
      </c>
      <c r="E77" t="s">
        <v>79</v>
      </c>
      <c r="F77" t="e" cm="1">
        <f t="array" ref="F77">+ Evidence quality</f>
        <v>#NAME?</v>
      </c>
      <c r="G77" t="s">
        <v>206</v>
      </c>
      <c r="H77">
        <v>0.7</v>
      </c>
      <c r="I77">
        <v>0.3</v>
      </c>
      <c r="J77">
        <v>0</v>
      </c>
      <c r="K77">
        <v>6</v>
      </c>
      <c r="L77" t="s">
        <v>146</v>
      </c>
      <c r="M77" t="s">
        <v>147</v>
      </c>
      <c r="N77" t="s">
        <v>141</v>
      </c>
      <c r="O77" t="s">
        <v>148</v>
      </c>
      <c r="P77" t="s">
        <v>141</v>
      </c>
      <c r="Q77" t="b">
        <v>1</v>
      </c>
      <c r="R77">
        <v>0.72928099999999996</v>
      </c>
      <c r="S77">
        <v>5.077</v>
      </c>
      <c r="T77">
        <v>2.5139999999999998</v>
      </c>
      <c r="U77">
        <v>0</v>
      </c>
      <c r="V77">
        <v>27</v>
      </c>
      <c r="W77">
        <v>20</v>
      </c>
      <c r="X77">
        <v>0.51223200000000002</v>
      </c>
      <c r="Y77" t="b">
        <v>0</v>
      </c>
      <c r="Z77" t="b">
        <v>0</v>
      </c>
      <c r="AA77" t="b">
        <v>0</v>
      </c>
      <c r="AB77" t="b">
        <v>0</v>
      </c>
      <c r="AC77" t="s">
        <v>149</v>
      </c>
      <c r="AD77" s="1" t="s">
        <v>215</v>
      </c>
      <c r="AE77" s="1" t="s">
        <v>215</v>
      </c>
      <c r="AF77" t="s">
        <v>141</v>
      </c>
      <c r="AG77" t="s">
        <v>141</v>
      </c>
    </row>
    <row r="78" spans="1:33" x14ac:dyDescent="0.25">
      <c r="A78">
        <v>3</v>
      </c>
      <c r="B78">
        <v>1</v>
      </c>
      <c r="C78" t="s">
        <v>112</v>
      </c>
      <c r="D78" t="s">
        <v>113</v>
      </c>
      <c r="E78" t="s">
        <v>79</v>
      </c>
      <c r="F78" t="e" cm="1">
        <f t="array" ref="F78">+ Evidence quality</f>
        <v>#NAME?</v>
      </c>
      <c r="G78" t="s">
        <v>206</v>
      </c>
      <c r="H78">
        <v>0.7</v>
      </c>
      <c r="I78">
        <v>0.3</v>
      </c>
      <c r="J78">
        <v>0</v>
      </c>
      <c r="K78">
        <v>7</v>
      </c>
      <c r="L78" t="s">
        <v>151</v>
      </c>
      <c r="M78" t="s">
        <v>152</v>
      </c>
      <c r="N78" t="s">
        <v>117</v>
      </c>
      <c r="O78" t="s">
        <v>153</v>
      </c>
      <c r="P78" t="s">
        <v>154</v>
      </c>
      <c r="Q78" t="b">
        <v>0</v>
      </c>
      <c r="R78">
        <v>0.73435600000000001</v>
      </c>
      <c r="S78">
        <v>5.1970000000000001</v>
      </c>
      <c r="T78">
        <v>2.5070000000000001</v>
      </c>
      <c r="U78">
        <v>0</v>
      </c>
      <c r="V78">
        <v>30</v>
      </c>
      <c r="W78">
        <v>20</v>
      </c>
      <c r="X78">
        <v>0.52673099999999995</v>
      </c>
      <c r="Y78" t="b">
        <v>0</v>
      </c>
      <c r="Z78" t="b">
        <v>0</v>
      </c>
      <c r="AA78" t="b">
        <v>0</v>
      </c>
      <c r="AB78" t="b">
        <v>0</v>
      </c>
      <c r="AC78" t="s">
        <v>155</v>
      </c>
      <c r="AD78" s="1" t="s">
        <v>219</v>
      </c>
      <c r="AE78" s="1" t="s">
        <v>219</v>
      </c>
      <c r="AF78" t="s">
        <v>117</v>
      </c>
      <c r="AG78" t="s">
        <v>154</v>
      </c>
    </row>
    <row r="79" spans="1:33" x14ac:dyDescent="0.25">
      <c r="A79">
        <v>3</v>
      </c>
      <c r="B79">
        <v>1</v>
      </c>
      <c r="C79" t="s">
        <v>112</v>
      </c>
      <c r="D79" t="s">
        <v>113</v>
      </c>
      <c r="E79" t="s">
        <v>79</v>
      </c>
      <c r="F79" t="e" cm="1">
        <f t="array" ref="F79">+ Evidence quality</f>
        <v>#NAME?</v>
      </c>
      <c r="G79" t="s">
        <v>206</v>
      </c>
      <c r="H79">
        <v>0.7</v>
      </c>
      <c r="I79">
        <v>0.3</v>
      </c>
      <c r="J79">
        <v>0</v>
      </c>
      <c r="K79">
        <v>8</v>
      </c>
      <c r="L79" t="s">
        <v>157</v>
      </c>
      <c r="M79" t="s">
        <v>158</v>
      </c>
      <c r="N79" t="s">
        <v>159</v>
      </c>
      <c r="O79" t="s">
        <v>160</v>
      </c>
      <c r="P79" t="s">
        <v>161</v>
      </c>
      <c r="Q79" t="b">
        <v>0</v>
      </c>
      <c r="R79">
        <v>0.72503600000000001</v>
      </c>
      <c r="S79">
        <v>5.3920000000000003</v>
      </c>
      <c r="T79">
        <v>3.0630000000000002</v>
      </c>
      <c r="U79">
        <v>0</v>
      </c>
      <c r="V79">
        <v>10</v>
      </c>
      <c r="W79">
        <v>10</v>
      </c>
      <c r="X79">
        <v>0.50010399999999999</v>
      </c>
      <c r="Y79" t="b">
        <v>0</v>
      </c>
      <c r="Z79" t="b">
        <v>0</v>
      </c>
      <c r="AA79" t="b">
        <v>0</v>
      </c>
      <c r="AB79" t="b">
        <v>0</v>
      </c>
      <c r="AC79" t="s">
        <v>162</v>
      </c>
      <c r="AD79" s="1" t="s">
        <v>220</v>
      </c>
      <c r="AE79" s="1" t="s">
        <v>220</v>
      </c>
      <c r="AF79" t="s">
        <v>159</v>
      </c>
      <c r="AG79" t="s">
        <v>161</v>
      </c>
    </row>
    <row r="80" spans="1:33" x14ac:dyDescent="0.25">
      <c r="A80">
        <v>3</v>
      </c>
      <c r="B80">
        <v>1</v>
      </c>
      <c r="C80" t="s">
        <v>112</v>
      </c>
      <c r="D80" t="s">
        <v>113</v>
      </c>
      <c r="E80" t="s">
        <v>79</v>
      </c>
      <c r="F80" t="e" cm="1">
        <f t="array" ref="F80">+ Evidence quality</f>
        <v>#NAME?</v>
      </c>
      <c r="G80" t="s">
        <v>206</v>
      </c>
      <c r="H80">
        <v>0.7</v>
      </c>
      <c r="I80">
        <v>0.3</v>
      </c>
      <c r="J80">
        <v>0</v>
      </c>
      <c r="K80">
        <v>9</v>
      </c>
      <c r="L80" t="s">
        <v>164</v>
      </c>
      <c r="M80" t="s">
        <v>165</v>
      </c>
      <c r="N80" t="s">
        <v>117</v>
      </c>
      <c r="O80" t="s">
        <v>166</v>
      </c>
      <c r="P80" t="s">
        <v>161</v>
      </c>
      <c r="Q80" t="b">
        <v>0</v>
      </c>
      <c r="R80">
        <v>0.70343699999999998</v>
      </c>
      <c r="S80">
        <v>4.8449999999999998</v>
      </c>
      <c r="T80">
        <v>2.468</v>
      </c>
      <c r="U80">
        <v>0</v>
      </c>
      <c r="V80">
        <v>12</v>
      </c>
      <c r="W80">
        <v>12</v>
      </c>
      <c r="X80">
        <v>0.438392</v>
      </c>
      <c r="Y80" t="b">
        <v>0</v>
      </c>
      <c r="Z80" t="b">
        <v>0</v>
      </c>
      <c r="AA80" t="b">
        <v>0</v>
      </c>
      <c r="AB80" t="b">
        <v>0</v>
      </c>
      <c r="AC80" t="s">
        <v>167</v>
      </c>
      <c r="AD80" s="1" t="s">
        <v>189</v>
      </c>
      <c r="AE80" s="1" t="s">
        <v>189</v>
      </c>
      <c r="AF80" t="s">
        <v>117</v>
      </c>
      <c r="AG80" t="s">
        <v>161</v>
      </c>
    </row>
    <row r="81" spans="1:33" x14ac:dyDescent="0.25">
      <c r="A81">
        <v>3</v>
      </c>
      <c r="B81">
        <v>1</v>
      </c>
      <c r="C81" t="s">
        <v>112</v>
      </c>
      <c r="D81" t="s">
        <v>113</v>
      </c>
      <c r="E81" t="s">
        <v>79</v>
      </c>
      <c r="F81" t="e" cm="1">
        <f t="array" ref="F81">+ Evidence quality</f>
        <v>#NAME?</v>
      </c>
      <c r="G81" t="s">
        <v>206</v>
      </c>
      <c r="H81">
        <v>0.7</v>
      </c>
      <c r="I81">
        <v>0.3</v>
      </c>
      <c r="J81">
        <v>0</v>
      </c>
      <c r="K81">
        <v>10</v>
      </c>
      <c r="L81" t="s">
        <v>169</v>
      </c>
      <c r="M81" t="s">
        <v>170</v>
      </c>
      <c r="N81" t="s">
        <v>117</v>
      </c>
      <c r="O81" t="s">
        <v>171</v>
      </c>
      <c r="P81" t="s">
        <v>161</v>
      </c>
      <c r="Q81" t="b">
        <v>0</v>
      </c>
      <c r="R81">
        <v>0.71476499999999998</v>
      </c>
      <c r="S81">
        <v>5.7720000000000002</v>
      </c>
      <c r="T81">
        <v>4.2</v>
      </c>
      <c r="U81">
        <v>0</v>
      </c>
      <c r="V81">
        <v>23</v>
      </c>
      <c r="W81">
        <v>20</v>
      </c>
      <c r="X81">
        <v>0.47075800000000001</v>
      </c>
      <c r="Y81" t="b">
        <v>0</v>
      </c>
      <c r="Z81" t="b">
        <v>0</v>
      </c>
      <c r="AA81" t="b">
        <v>0</v>
      </c>
      <c r="AB81" t="b">
        <v>0</v>
      </c>
      <c r="AC81" t="s">
        <v>172</v>
      </c>
      <c r="AD81" s="1" t="s">
        <v>221</v>
      </c>
      <c r="AE81" s="1" t="s">
        <v>221</v>
      </c>
      <c r="AF81" t="s">
        <v>117</v>
      </c>
      <c r="AG81" t="s">
        <v>161</v>
      </c>
    </row>
    <row r="82" spans="1:33" x14ac:dyDescent="0.25">
      <c r="A82">
        <v>4</v>
      </c>
      <c r="B82">
        <v>1</v>
      </c>
      <c r="C82" t="s">
        <v>112</v>
      </c>
      <c r="D82" t="s">
        <v>113</v>
      </c>
      <c r="E82" t="s">
        <v>79</v>
      </c>
      <c r="F82" t="e" cm="1">
        <f t="array" ref="F82">+ Evidence quality</f>
        <v>#NAME?</v>
      </c>
      <c r="G82" t="s">
        <v>206</v>
      </c>
      <c r="H82">
        <v>0.7</v>
      </c>
      <c r="I82">
        <v>0.3</v>
      </c>
      <c r="J82">
        <v>0</v>
      </c>
      <c r="K82">
        <v>1</v>
      </c>
      <c r="L82" t="s">
        <v>115</v>
      </c>
      <c r="M82" t="s">
        <v>116</v>
      </c>
      <c r="N82" t="s">
        <v>117</v>
      </c>
      <c r="O82" t="s">
        <v>118</v>
      </c>
      <c r="P82" t="s">
        <v>117</v>
      </c>
      <c r="Q82" t="b">
        <v>1</v>
      </c>
      <c r="R82">
        <v>0.73393399999999998</v>
      </c>
      <c r="S82">
        <v>11.727</v>
      </c>
      <c r="T82">
        <v>8.9420000000000002</v>
      </c>
      <c r="U82">
        <v>0</v>
      </c>
      <c r="V82">
        <v>27</v>
      </c>
      <c r="W82">
        <v>20</v>
      </c>
      <c r="X82">
        <v>0.52552600000000005</v>
      </c>
      <c r="Y82" t="b">
        <v>0</v>
      </c>
      <c r="Z82" t="b">
        <v>0</v>
      </c>
      <c r="AA82" t="b">
        <v>0</v>
      </c>
      <c r="AB82" t="b">
        <v>0</v>
      </c>
      <c r="AC82" t="s">
        <v>119</v>
      </c>
      <c r="AD82" s="1" t="s">
        <v>222</v>
      </c>
      <c r="AE82" s="1" t="s">
        <v>222</v>
      </c>
      <c r="AF82" t="s">
        <v>117</v>
      </c>
      <c r="AG82" t="s">
        <v>117</v>
      </c>
    </row>
    <row r="83" spans="1:33" x14ac:dyDescent="0.25">
      <c r="A83">
        <v>4</v>
      </c>
      <c r="B83">
        <v>1</v>
      </c>
      <c r="C83" t="s">
        <v>112</v>
      </c>
      <c r="D83" t="s">
        <v>113</v>
      </c>
      <c r="E83" t="s">
        <v>79</v>
      </c>
      <c r="F83" t="e" cm="1">
        <f t="array" ref="F83">+ Evidence quality</f>
        <v>#NAME?</v>
      </c>
      <c r="G83" t="s">
        <v>206</v>
      </c>
      <c r="H83">
        <v>0.7</v>
      </c>
      <c r="I83">
        <v>0.3</v>
      </c>
      <c r="J83">
        <v>0</v>
      </c>
      <c r="K83">
        <v>2</v>
      </c>
      <c r="L83" t="s">
        <v>121</v>
      </c>
      <c r="M83" t="s">
        <v>122</v>
      </c>
      <c r="N83" t="s">
        <v>123</v>
      </c>
      <c r="O83" t="s">
        <v>124</v>
      </c>
      <c r="P83" t="s">
        <v>125</v>
      </c>
      <c r="Q83" t="b">
        <v>0</v>
      </c>
      <c r="R83">
        <v>0.70201899999999995</v>
      </c>
      <c r="S83">
        <v>5.7380000000000004</v>
      </c>
      <c r="T83">
        <v>3.8410000000000002</v>
      </c>
      <c r="U83">
        <v>0</v>
      </c>
      <c r="V83">
        <v>16</v>
      </c>
      <c r="W83">
        <v>16</v>
      </c>
      <c r="X83">
        <v>0.43433899999999998</v>
      </c>
      <c r="Y83" t="b">
        <v>0</v>
      </c>
      <c r="Z83" t="b">
        <v>0</v>
      </c>
      <c r="AA83" t="b">
        <v>0</v>
      </c>
      <c r="AB83" t="b">
        <v>0</v>
      </c>
      <c r="AC83" t="s">
        <v>126</v>
      </c>
      <c r="AD83" s="1" t="s">
        <v>175</v>
      </c>
      <c r="AE83" s="1" t="s">
        <v>175</v>
      </c>
      <c r="AF83" t="s">
        <v>123</v>
      </c>
      <c r="AG83" t="s">
        <v>125</v>
      </c>
    </row>
    <row r="84" spans="1:33" x14ac:dyDescent="0.25">
      <c r="A84">
        <v>4</v>
      </c>
      <c r="B84">
        <v>1</v>
      </c>
      <c r="C84" t="s">
        <v>112</v>
      </c>
      <c r="D84" t="s">
        <v>113</v>
      </c>
      <c r="E84" t="s">
        <v>79</v>
      </c>
      <c r="F84" t="e" cm="1">
        <f t="array" ref="F84">+ Evidence quality</f>
        <v>#NAME?</v>
      </c>
      <c r="G84" t="s">
        <v>206</v>
      </c>
      <c r="H84">
        <v>0.7</v>
      </c>
      <c r="I84">
        <v>0.3</v>
      </c>
      <c r="J84">
        <v>0</v>
      </c>
      <c r="K84">
        <v>3</v>
      </c>
      <c r="L84" t="s">
        <v>128</v>
      </c>
      <c r="M84" t="s">
        <v>129</v>
      </c>
      <c r="N84" t="s">
        <v>117</v>
      </c>
      <c r="O84" t="s">
        <v>130</v>
      </c>
      <c r="P84" t="s">
        <v>131</v>
      </c>
      <c r="Q84" t="b">
        <v>0</v>
      </c>
      <c r="R84">
        <v>0.70612900000000001</v>
      </c>
      <c r="S84">
        <v>4.1399999999999997</v>
      </c>
      <c r="T84">
        <v>2.4260000000000002</v>
      </c>
      <c r="U84">
        <v>0</v>
      </c>
      <c r="V84">
        <v>17</v>
      </c>
      <c r="W84">
        <v>17</v>
      </c>
      <c r="X84">
        <v>0.44608300000000001</v>
      </c>
      <c r="Y84" t="b">
        <v>0</v>
      </c>
      <c r="Z84" t="b">
        <v>0</v>
      </c>
      <c r="AA84" t="b">
        <v>0</v>
      </c>
      <c r="AB84" t="b">
        <v>0</v>
      </c>
      <c r="AC84" t="s">
        <v>132</v>
      </c>
      <c r="AD84" s="1" t="s">
        <v>223</v>
      </c>
      <c r="AE84" s="1" t="s">
        <v>223</v>
      </c>
      <c r="AF84" t="s">
        <v>117</v>
      </c>
      <c r="AG84" t="s">
        <v>131</v>
      </c>
    </row>
    <row r="85" spans="1:33" x14ac:dyDescent="0.25">
      <c r="A85">
        <v>4</v>
      </c>
      <c r="B85">
        <v>1</v>
      </c>
      <c r="C85" t="s">
        <v>112</v>
      </c>
      <c r="D85" t="s">
        <v>113</v>
      </c>
      <c r="E85" t="s">
        <v>79</v>
      </c>
      <c r="F85" t="e" cm="1">
        <f t="array" ref="F85">+ Evidence quality</f>
        <v>#NAME?</v>
      </c>
      <c r="G85" t="s">
        <v>206</v>
      </c>
      <c r="H85">
        <v>0.7</v>
      </c>
      <c r="I85">
        <v>0.3</v>
      </c>
      <c r="J85">
        <v>0</v>
      </c>
      <c r="K85">
        <v>4</v>
      </c>
      <c r="L85" t="s">
        <v>134</v>
      </c>
      <c r="M85" t="s">
        <v>135</v>
      </c>
      <c r="N85" t="s">
        <v>117</v>
      </c>
      <c r="O85" t="s">
        <v>136</v>
      </c>
      <c r="P85" t="s">
        <v>125</v>
      </c>
      <c r="Q85" t="b">
        <v>0</v>
      </c>
      <c r="R85">
        <v>0.71750999999999998</v>
      </c>
      <c r="S85">
        <v>5.73</v>
      </c>
      <c r="T85">
        <v>3.452</v>
      </c>
      <c r="U85">
        <v>0</v>
      </c>
      <c r="V85">
        <v>22</v>
      </c>
      <c r="W85">
        <v>20</v>
      </c>
      <c r="X85">
        <v>0.478601</v>
      </c>
      <c r="Y85" t="b">
        <v>0</v>
      </c>
      <c r="Z85" t="b">
        <v>0</v>
      </c>
      <c r="AA85" t="b">
        <v>0</v>
      </c>
      <c r="AB85" t="b">
        <v>0</v>
      </c>
      <c r="AC85" t="s">
        <v>137</v>
      </c>
      <c r="AD85" s="1" t="s">
        <v>191</v>
      </c>
      <c r="AE85" s="1" t="s">
        <v>191</v>
      </c>
      <c r="AF85" t="s">
        <v>117</v>
      </c>
      <c r="AG85" t="s">
        <v>125</v>
      </c>
    </row>
    <row r="86" spans="1:33" x14ac:dyDescent="0.25">
      <c r="A86">
        <v>4</v>
      </c>
      <c r="B86">
        <v>1</v>
      </c>
      <c r="C86" t="s">
        <v>112</v>
      </c>
      <c r="D86" t="s">
        <v>113</v>
      </c>
      <c r="E86" t="s">
        <v>79</v>
      </c>
      <c r="F86" t="e" cm="1">
        <f t="array" ref="F86">+ Evidence quality</f>
        <v>#NAME?</v>
      </c>
      <c r="G86" t="s">
        <v>206</v>
      </c>
      <c r="H86">
        <v>0.7</v>
      </c>
      <c r="I86">
        <v>0.3</v>
      </c>
      <c r="J86">
        <v>0</v>
      </c>
      <c r="K86">
        <v>5</v>
      </c>
      <c r="L86" t="s">
        <v>139</v>
      </c>
      <c r="M86" t="s">
        <v>140</v>
      </c>
      <c r="N86" t="s">
        <v>141</v>
      </c>
      <c r="O86" t="s">
        <v>142</v>
      </c>
      <c r="P86" t="s">
        <v>143</v>
      </c>
      <c r="Q86" t="b">
        <v>0</v>
      </c>
      <c r="R86">
        <v>0.71662400000000004</v>
      </c>
      <c r="S86">
        <v>4.3620000000000001</v>
      </c>
      <c r="T86">
        <v>2.157</v>
      </c>
      <c r="U86">
        <v>0</v>
      </c>
      <c r="V86">
        <v>19</v>
      </c>
      <c r="W86">
        <v>19</v>
      </c>
      <c r="X86">
        <v>0.47606999999999999</v>
      </c>
      <c r="Y86" t="b">
        <v>0</v>
      </c>
      <c r="Z86" t="b">
        <v>0</v>
      </c>
      <c r="AA86" t="b">
        <v>0</v>
      </c>
      <c r="AB86" t="b">
        <v>0</v>
      </c>
      <c r="AC86" t="s">
        <v>144</v>
      </c>
      <c r="AD86" s="1" t="s">
        <v>185</v>
      </c>
      <c r="AE86" s="1" t="s">
        <v>185</v>
      </c>
      <c r="AF86" t="s">
        <v>141</v>
      </c>
      <c r="AG86" t="s">
        <v>143</v>
      </c>
    </row>
    <row r="87" spans="1:33" x14ac:dyDescent="0.25">
      <c r="A87">
        <v>4</v>
      </c>
      <c r="B87">
        <v>1</v>
      </c>
      <c r="C87" t="s">
        <v>112</v>
      </c>
      <c r="D87" t="s">
        <v>113</v>
      </c>
      <c r="E87" t="s">
        <v>79</v>
      </c>
      <c r="F87" t="e" cm="1">
        <f t="array" ref="F87">+ Evidence quality</f>
        <v>#NAME?</v>
      </c>
      <c r="G87" t="s">
        <v>206</v>
      </c>
      <c r="H87">
        <v>0.7</v>
      </c>
      <c r="I87">
        <v>0.3</v>
      </c>
      <c r="J87">
        <v>0</v>
      </c>
      <c r="K87">
        <v>6</v>
      </c>
      <c r="L87" t="s">
        <v>146</v>
      </c>
      <c r="M87" t="s">
        <v>147</v>
      </c>
      <c r="N87" t="s">
        <v>141</v>
      </c>
      <c r="O87" t="s">
        <v>148</v>
      </c>
      <c r="P87" t="s">
        <v>141</v>
      </c>
      <c r="Q87" t="b">
        <v>1</v>
      </c>
      <c r="R87">
        <v>0.72928499999999996</v>
      </c>
      <c r="S87">
        <v>5.3730000000000002</v>
      </c>
      <c r="T87">
        <v>2.3969999999999998</v>
      </c>
      <c r="U87">
        <v>0</v>
      </c>
      <c r="V87">
        <v>27</v>
      </c>
      <c r="W87">
        <v>20</v>
      </c>
      <c r="X87">
        <v>0.51224199999999998</v>
      </c>
      <c r="Y87" t="b">
        <v>0</v>
      </c>
      <c r="Z87" t="b">
        <v>0</v>
      </c>
      <c r="AA87" t="b">
        <v>0</v>
      </c>
      <c r="AB87" t="b">
        <v>0</v>
      </c>
      <c r="AC87" t="s">
        <v>149</v>
      </c>
      <c r="AD87" s="1" t="s">
        <v>224</v>
      </c>
      <c r="AE87" s="1" t="s">
        <v>224</v>
      </c>
      <c r="AF87" t="s">
        <v>141</v>
      </c>
      <c r="AG87" t="s">
        <v>141</v>
      </c>
    </row>
    <row r="88" spans="1:33" x14ac:dyDescent="0.25">
      <c r="A88">
        <v>4</v>
      </c>
      <c r="B88">
        <v>1</v>
      </c>
      <c r="C88" t="s">
        <v>112</v>
      </c>
      <c r="D88" t="s">
        <v>113</v>
      </c>
      <c r="E88" t="s">
        <v>79</v>
      </c>
      <c r="F88" t="e" cm="1">
        <f t="array" ref="F88">+ Evidence quality</f>
        <v>#NAME?</v>
      </c>
      <c r="G88" t="s">
        <v>206</v>
      </c>
      <c r="H88">
        <v>0.7</v>
      </c>
      <c r="I88">
        <v>0.3</v>
      </c>
      <c r="J88">
        <v>0</v>
      </c>
      <c r="K88">
        <v>7</v>
      </c>
      <c r="L88" t="s">
        <v>151</v>
      </c>
      <c r="M88" t="s">
        <v>152</v>
      </c>
      <c r="N88" t="s">
        <v>117</v>
      </c>
      <c r="O88" t="s">
        <v>153</v>
      </c>
      <c r="P88" t="s">
        <v>154</v>
      </c>
      <c r="Q88" t="b">
        <v>0</v>
      </c>
      <c r="R88">
        <v>0.73435600000000001</v>
      </c>
      <c r="S88">
        <v>5.3259999999999996</v>
      </c>
      <c r="T88">
        <v>2.7589999999999999</v>
      </c>
      <c r="U88">
        <v>0</v>
      </c>
      <c r="V88">
        <v>30</v>
      </c>
      <c r="W88">
        <v>20</v>
      </c>
      <c r="X88">
        <v>0.52673099999999995</v>
      </c>
      <c r="Y88" t="b">
        <v>0</v>
      </c>
      <c r="Z88" t="b">
        <v>0</v>
      </c>
      <c r="AA88" t="b">
        <v>0</v>
      </c>
      <c r="AB88" t="b">
        <v>0</v>
      </c>
      <c r="AC88" t="s">
        <v>155</v>
      </c>
      <c r="AD88" s="1" t="s">
        <v>225</v>
      </c>
      <c r="AE88" s="1" t="s">
        <v>225</v>
      </c>
      <c r="AF88" t="s">
        <v>117</v>
      </c>
      <c r="AG88" t="s">
        <v>154</v>
      </c>
    </row>
    <row r="89" spans="1:33" x14ac:dyDescent="0.25">
      <c r="A89">
        <v>4</v>
      </c>
      <c r="B89">
        <v>1</v>
      </c>
      <c r="C89" t="s">
        <v>112</v>
      </c>
      <c r="D89" t="s">
        <v>113</v>
      </c>
      <c r="E89" t="s">
        <v>79</v>
      </c>
      <c r="F89" t="e" cm="1">
        <f t="array" ref="F89">+ Evidence quality</f>
        <v>#NAME?</v>
      </c>
      <c r="G89" t="s">
        <v>206</v>
      </c>
      <c r="H89">
        <v>0.7</v>
      </c>
      <c r="I89">
        <v>0.3</v>
      </c>
      <c r="J89">
        <v>0</v>
      </c>
      <c r="K89">
        <v>8</v>
      </c>
      <c r="L89" t="s">
        <v>157</v>
      </c>
      <c r="M89" t="s">
        <v>158</v>
      </c>
      <c r="N89" t="s">
        <v>159</v>
      </c>
      <c r="O89" t="s">
        <v>160</v>
      </c>
      <c r="P89" t="s">
        <v>161</v>
      </c>
      <c r="Q89" t="b">
        <v>0</v>
      </c>
      <c r="R89">
        <v>0.72504000000000002</v>
      </c>
      <c r="S89">
        <v>4.25</v>
      </c>
      <c r="T89">
        <v>2.306</v>
      </c>
      <c r="U89">
        <v>0</v>
      </c>
      <c r="V89">
        <v>10</v>
      </c>
      <c r="W89">
        <v>10</v>
      </c>
      <c r="X89">
        <v>0.50011399999999995</v>
      </c>
      <c r="Y89" t="b">
        <v>0</v>
      </c>
      <c r="Z89" t="b">
        <v>0</v>
      </c>
      <c r="AA89" t="b">
        <v>0</v>
      </c>
      <c r="AB89" t="b">
        <v>0</v>
      </c>
      <c r="AC89" t="s">
        <v>162</v>
      </c>
      <c r="AD89" s="1" t="s">
        <v>226</v>
      </c>
      <c r="AE89" s="1" t="s">
        <v>226</v>
      </c>
      <c r="AF89" t="s">
        <v>159</v>
      </c>
      <c r="AG89" t="s">
        <v>161</v>
      </c>
    </row>
    <row r="90" spans="1:33" x14ac:dyDescent="0.25">
      <c r="A90">
        <v>4</v>
      </c>
      <c r="B90">
        <v>1</v>
      </c>
      <c r="C90" t="s">
        <v>112</v>
      </c>
      <c r="D90" t="s">
        <v>113</v>
      </c>
      <c r="E90" t="s">
        <v>79</v>
      </c>
      <c r="F90" t="e" cm="1">
        <f t="array" ref="F90">+ Evidence quality</f>
        <v>#NAME?</v>
      </c>
      <c r="G90" t="s">
        <v>206</v>
      </c>
      <c r="H90">
        <v>0.7</v>
      </c>
      <c r="I90">
        <v>0.3</v>
      </c>
      <c r="J90">
        <v>0</v>
      </c>
      <c r="K90">
        <v>9</v>
      </c>
      <c r="L90" t="s">
        <v>164</v>
      </c>
      <c r="M90" t="s">
        <v>165</v>
      </c>
      <c r="N90" t="s">
        <v>117</v>
      </c>
      <c r="O90" t="s">
        <v>166</v>
      </c>
      <c r="P90" t="s">
        <v>161</v>
      </c>
      <c r="Q90" t="b">
        <v>0</v>
      </c>
      <c r="R90">
        <v>0.70343599999999995</v>
      </c>
      <c r="S90">
        <v>4.3520000000000003</v>
      </c>
      <c r="T90">
        <v>2.1920000000000002</v>
      </c>
      <c r="U90">
        <v>0</v>
      </c>
      <c r="V90">
        <v>12</v>
      </c>
      <c r="W90">
        <v>12</v>
      </c>
      <c r="X90">
        <v>0.43839</v>
      </c>
      <c r="Y90" t="b">
        <v>0</v>
      </c>
      <c r="Z90" t="b">
        <v>0</v>
      </c>
      <c r="AA90" t="b">
        <v>0</v>
      </c>
      <c r="AB90" t="b">
        <v>0</v>
      </c>
      <c r="AC90" t="s">
        <v>167</v>
      </c>
      <c r="AD90" s="1" t="s">
        <v>205</v>
      </c>
      <c r="AE90" s="1" t="s">
        <v>205</v>
      </c>
      <c r="AF90" t="s">
        <v>117</v>
      </c>
      <c r="AG90" t="s">
        <v>161</v>
      </c>
    </row>
    <row r="91" spans="1:33" x14ac:dyDescent="0.25">
      <c r="A91">
        <v>4</v>
      </c>
      <c r="B91">
        <v>1</v>
      </c>
      <c r="C91" t="s">
        <v>112</v>
      </c>
      <c r="D91" t="s">
        <v>113</v>
      </c>
      <c r="E91" t="s">
        <v>79</v>
      </c>
      <c r="F91" t="e" cm="1">
        <f t="array" ref="F91">+ Evidence quality</f>
        <v>#NAME?</v>
      </c>
      <c r="G91" t="s">
        <v>206</v>
      </c>
      <c r="H91">
        <v>0.7</v>
      </c>
      <c r="I91">
        <v>0.3</v>
      </c>
      <c r="J91">
        <v>0</v>
      </c>
      <c r="K91">
        <v>10</v>
      </c>
      <c r="L91" t="s">
        <v>169</v>
      </c>
      <c r="M91" t="s">
        <v>170</v>
      </c>
      <c r="N91" t="s">
        <v>117</v>
      </c>
      <c r="O91" t="s">
        <v>171</v>
      </c>
      <c r="P91" t="s">
        <v>161</v>
      </c>
      <c r="Q91" t="b">
        <v>0</v>
      </c>
      <c r="R91">
        <v>0.71475999999999995</v>
      </c>
      <c r="S91">
        <v>3.7229999999999999</v>
      </c>
      <c r="T91">
        <v>2.1059999999999999</v>
      </c>
      <c r="U91">
        <v>0</v>
      </c>
      <c r="V91">
        <v>23</v>
      </c>
      <c r="W91">
        <v>20</v>
      </c>
      <c r="X91">
        <v>0.47074300000000002</v>
      </c>
      <c r="Y91" t="b">
        <v>0</v>
      </c>
      <c r="Z91" t="b">
        <v>0</v>
      </c>
      <c r="AA91" t="b">
        <v>0</v>
      </c>
      <c r="AB91" t="b">
        <v>0</v>
      </c>
      <c r="AC91" t="s">
        <v>172</v>
      </c>
      <c r="AD91" s="1" t="s">
        <v>173</v>
      </c>
      <c r="AE91" s="1" t="s">
        <v>173</v>
      </c>
      <c r="AF91" t="s">
        <v>117</v>
      </c>
      <c r="AG91" t="s">
        <v>161</v>
      </c>
    </row>
    <row r="92" spans="1:33" x14ac:dyDescent="0.25">
      <c r="A92">
        <v>5</v>
      </c>
      <c r="B92">
        <v>1</v>
      </c>
      <c r="C92" t="s">
        <v>112</v>
      </c>
      <c r="D92" t="s">
        <v>113</v>
      </c>
      <c r="E92" t="s">
        <v>79</v>
      </c>
      <c r="F92" t="e" cm="1">
        <f t="array" ref="F92">+ Evidence quality</f>
        <v>#NAME?</v>
      </c>
      <c r="G92" t="s">
        <v>206</v>
      </c>
      <c r="H92">
        <v>0.7</v>
      </c>
      <c r="I92">
        <v>0.3</v>
      </c>
      <c r="J92">
        <v>0</v>
      </c>
      <c r="K92">
        <v>1</v>
      </c>
      <c r="L92" t="s">
        <v>115</v>
      </c>
      <c r="M92" t="s">
        <v>116</v>
      </c>
      <c r="N92" t="s">
        <v>117</v>
      </c>
      <c r="O92" t="s">
        <v>118</v>
      </c>
      <c r="P92" t="s">
        <v>117</v>
      </c>
      <c r="Q92" t="b">
        <v>1</v>
      </c>
      <c r="R92">
        <v>0.73393399999999998</v>
      </c>
      <c r="S92">
        <v>5.3129999999999997</v>
      </c>
      <c r="T92">
        <v>3.0630000000000002</v>
      </c>
      <c r="U92">
        <v>0</v>
      </c>
      <c r="V92">
        <v>27</v>
      </c>
      <c r="W92">
        <v>20</v>
      </c>
      <c r="X92">
        <v>0.52552600000000005</v>
      </c>
      <c r="Y92" t="b">
        <v>0</v>
      </c>
      <c r="Z92" t="b">
        <v>0</v>
      </c>
      <c r="AA92" t="b">
        <v>0</v>
      </c>
      <c r="AB92" t="b">
        <v>0</v>
      </c>
      <c r="AC92" t="s">
        <v>119</v>
      </c>
      <c r="AD92" s="1" t="s">
        <v>227</v>
      </c>
      <c r="AE92" s="1" t="s">
        <v>227</v>
      </c>
      <c r="AF92" t="s">
        <v>117</v>
      </c>
      <c r="AG92" t="s">
        <v>117</v>
      </c>
    </row>
    <row r="93" spans="1:33" x14ac:dyDescent="0.25">
      <c r="A93">
        <v>5</v>
      </c>
      <c r="B93">
        <v>1</v>
      </c>
      <c r="C93" t="s">
        <v>112</v>
      </c>
      <c r="D93" t="s">
        <v>113</v>
      </c>
      <c r="E93" t="s">
        <v>79</v>
      </c>
      <c r="F93" t="e" cm="1">
        <f t="array" ref="F93">+ Evidence quality</f>
        <v>#NAME?</v>
      </c>
      <c r="G93" t="s">
        <v>206</v>
      </c>
      <c r="H93">
        <v>0.7</v>
      </c>
      <c r="I93">
        <v>0.3</v>
      </c>
      <c r="J93">
        <v>0</v>
      </c>
      <c r="K93">
        <v>2</v>
      </c>
      <c r="L93" t="s">
        <v>121</v>
      </c>
      <c r="M93" t="s">
        <v>122</v>
      </c>
      <c r="N93" t="s">
        <v>123</v>
      </c>
      <c r="O93" t="s">
        <v>124</v>
      </c>
      <c r="P93" t="s">
        <v>125</v>
      </c>
      <c r="Q93" t="b">
        <v>0</v>
      </c>
      <c r="R93">
        <v>0.70202100000000001</v>
      </c>
      <c r="S93">
        <v>7.64</v>
      </c>
      <c r="T93">
        <v>2.1659999999999999</v>
      </c>
      <c r="U93">
        <v>0</v>
      </c>
      <c r="V93">
        <v>16</v>
      </c>
      <c r="W93">
        <v>16</v>
      </c>
      <c r="X93">
        <v>0.43434499999999998</v>
      </c>
      <c r="Y93" t="b">
        <v>0</v>
      </c>
      <c r="Z93" t="b">
        <v>0</v>
      </c>
      <c r="AA93" t="b">
        <v>0</v>
      </c>
      <c r="AB93" t="b">
        <v>0</v>
      </c>
      <c r="AC93" t="s">
        <v>126</v>
      </c>
      <c r="AD93" s="1" t="s">
        <v>127</v>
      </c>
      <c r="AE93" s="1" t="s">
        <v>127</v>
      </c>
      <c r="AF93" t="s">
        <v>123</v>
      </c>
      <c r="AG93" t="s">
        <v>125</v>
      </c>
    </row>
    <row r="94" spans="1:33" x14ac:dyDescent="0.25">
      <c r="A94">
        <v>5</v>
      </c>
      <c r="B94">
        <v>1</v>
      </c>
      <c r="C94" t="s">
        <v>112</v>
      </c>
      <c r="D94" t="s">
        <v>113</v>
      </c>
      <c r="E94" t="s">
        <v>79</v>
      </c>
      <c r="F94" t="e" cm="1">
        <f t="array" ref="F94">+ Evidence quality</f>
        <v>#NAME?</v>
      </c>
      <c r="G94" t="s">
        <v>206</v>
      </c>
      <c r="H94">
        <v>0.7</v>
      </c>
      <c r="I94">
        <v>0.3</v>
      </c>
      <c r="J94">
        <v>0</v>
      </c>
      <c r="K94">
        <v>3</v>
      </c>
      <c r="L94" t="s">
        <v>128</v>
      </c>
      <c r="M94" t="s">
        <v>129</v>
      </c>
      <c r="N94" t="s">
        <v>117</v>
      </c>
      <c r="O94" t="s">
        <v>130</v>
      </c>
      <c r="P94" t="s">
        <v>131</v>
      </c>
      <c r="Q94" t="b">
        <v>0</v>
      </c>
      <c r="R94">
        <v>0.70613199999999998</v>
      </c>
      <c r="S94">
        <v>5.2649999999999997</v>
      </c>
      <c r="T94">
        <v>2.0390000000000001</v>
      </c>
      <c r="U94">
        <v>0</v>
      </c>
      <c r="V94">
        <v>17</v>
      </c>
      <c r="W94">
        <v>17</v>
      </c>
      <c r="X94">
        <v>0.44609199999999999</v>
      </c>
      <c r="Y94" t="b">
        <v>0</v>
      </c>
      <c r="Z94" t="b">
        <v>0</v>
      </c>
      <c r="AA94" t="b">
        <v>0</v>
      </c>
      <c r="AB94" t="b">
        <v>0</v>
      </c>
      <c r="AC94" t="s">
        <v>132</v>
      </c>
      <c r="AD94" s="1" t="s">
        <v>228</v>
      </c>
      <c r="AE94" s="1" t="s">
        <v>228</v>
      </c>
      <c r="AF94" t="s">
        <v>117</v>
      </c>
      <c r="AG94" t="s">
        <v>131</v>
      </c>
    </row>
    <row r="95" spans="1:33" x14ac:dyDescent="0.25">
      <c r="A95">
        <v>5</v>
      </c>
      <c r="B95">
        <v>1</v>
      </c>
      <c r="C95" t="s">
        <v>112</v>
      </c>
      <c r="D95" t="s">
        <v>113</v>
      </c>
      <c r="E95" t="s">
        <v>79</v>
      </c>
      <c r="F95" t="e" cm="1">
        <f t="array" ref="F95">+ Evidence quality</f>
        <v>#NAME?</v>
      </c>
      <c r="G95" t="s">
        <v>206</v>
      </c>
      <c r="H95">
        <v>0.7</v>
      </c>
      <c r="I95">
        <v>0.3</v>
      </c>
      <c r="J95">
        <v>0</v>
      </c>
      <c r="K95">
        <v>4</v>
      </c>
      <c r="L95" t="s">
        <v>134</v>
      </c>
      <c r="M95" t="s">
        <v>135</v>
      </c>
      <c r="N95" t="s">
        <v>117</v>
      </c>
      <c r="O95" t="s">
        <v>136</v>
      </c>
      <c r="P95" t="s">
        <v>125</v>
      </c>
      <c r="Q95" t="b">
        <v>0</v>
      </c>
      <c r="R95">
        <v>0.71750899999999995</v>
      </c>
      <c r="S95">
        <v>4.1379999999999999</v>
      </c>
      <c r="T95">
        <v>2.3929999999999998</v>
      </c>
      <c r="U95">
        <v>0</v>
      </c>
      <c r="V95">
        <v>22</v>
      </c>
      <c r="W95">
        <v>20</v>
      </c>
      <c r="X95">
        <v>0.47859600000000002</v>
      </c>
      <c r="Y95" t="b">
        <v>0</v>
      </c>
      <c r="Z95" t="b">
        <v>0</v>
      </c>
      <c r="AA95" t="b">
        <v>0</v>
      </c>
      <c r="AB95" t="b">
        <v>0</v>
      </c>
      <c r="AC95" t="s">
        <v>137</v>
      </c>
      <c r="AD95" s="1" t="s">
        <v>200</v>
      </c>
      <c r="AE95" s="1" t="s">
        <v>200</v>
      </c>
      <c r="AF95" t="s">
        <v>117</v>
      </c>
      <c r="AG95" t="s">
        <v>125</v>
      </c>
    </row>
    <row r="96" spans="1:33" x14ac:dyDescent="0.25">
      <c r="A96">
        <v>5</v>
      </c>
      <c r="B96">
        <v>1</v>
      </c>
      <c r="C96" t="s">
        <v>112</v>
      </c>
      <c r="D96" t="s">
        <v>113</v>
      </c>
      <c r="E96" t="s">
        <v>79</v>
      </c>
      <c r="F96" t="e" cm="1">
        <f t="array" ref="F96">+ Evidence quality</f>
        <v>#NAME?</v>
      </c>
      <c r="G96" t="s">
        <v>206</v>
      </c>
      <c r="H96">
        <v>0.7</v>
      </c>
      <c r="I96">
        <v>0.3</v>
      </c>
      <c r="J96">
        <v>0</v>
      </c>
      <c r="K96">
        <v>5</v>
      </c>
      <c r="L96" t="s">
        <v>139</v>
      </c>
      <c r="M96" t="s">
        <v>140</v>
      </c>
      <c r="N96" t="s">
        <v>141</v>
      </c>
      <c r="O96" t="s">
        <v>142</v>
      </c>
      <c r="P96" t="s">
        <v>143</v>
      </c>
      <c r="Q96" t="b">
        <v>0</v>
      </c>
      <c r="R96">
        <v>0.71662499999999996</v>
      </c>
      <c r="S96">
        <v>18.209</v>
      </c>
      <c r="T96">
        <v>2.2509999999999999</v>
      </c>
      <c r="U96">
        <v>0</v>
      </c>
      <c r="V96">
        <v>19</v>
      </c>
      <c r="W96">
        <v>19</v>
      </c>
      <c r="X96">
        <v>0.47606999999999999</v>
      </c>
      <c r="Y96" t="b">
        <v>0</v>
      </c>
      <c r="Z96" t="b">
        <v>0</v>
      </c>
      <c r="AA96" t="b">
        <v>0</v>
      </c>
      <c r="AB96" t="b">
        <v>0</v>
      </c>
      <c r="AC96" t="s">
        <v>144</v>
      </c>
      <c r="AD96" s="1" t="s">
        <v>201</v>
      </c>
      <c r="AE96" s="1" t="s">
        <v>201</v>
      </c>
      <c r="AF96" t="s">
        <v>141</v>
      </c>
      <c r="AG96" t="s">
        <v>143</v>
      </c>
    </row>
    <row r="97" spans="1:33" x14ac:dyDescent="0.25">
      <c r="A97">
        <v>5</v>
      </c>
      <c r="B97">
        <v>1</v>
      </c>
      <c r="C97" t="s">
        <v>112</v>
      </c>
      <c r="D97" t="s">
        <v>113</v>
      </c>
      <c r="E97" t="s">
        <v>79</v>
      </c>
      <c r="F97" t="e" cm="1">
        <f t="array" ref="F97">+ Evidence quality</f>
        <v>#NAME?</v>
      </c>
      <c r="G97" t="s">
        <v>206</v>
      </c>
      <c r="H97">
        <v>0.7</v>
      </c>
      <c r="I97">
        <v>0.3</v>
      </c>
      <c r="J97">
        <v>0</v>
      </c>
      <c r="K97">
        <v>6</v>
      </c>
      <c r="L97" t="s">
        <v>146</v>
      </c>
      <c r="M97" t="s">
        <v>147</v>
      </c>
      <c r="N97" t="s">
        <v>141</v>
      </c>
      <c r="O97" t="s">
        <v>148</v>
      </c>
      <c r="P97" t="s">
        <v>141</v>
      </c>
      <c r="Q97" t="b">
        <v>1</v>
      </c>
      <c r="R97">
        <v>0.72928400000000004</v>
      </c>
      <c r="S97">
        <v>6.3529999999999998</v>
      </c>
      <c r="T97">
        <v>3.2320000000000002</v>
      </c>
      <c r="U97">
        <v>0</v>
      </c>
      <c r="V97">
        <v>27</v>
      </c>
      <c r="W97">
        <v>20</v>
      </c>
      <c r="X97">
        <v>0.51224099999999995</v>
      </c>
      <c r="Y97" t="b">
        <v>0</v>
      </c>
      <c r="Z97" t="b">
        <v>0</v>
      </c>
      <c r="AA97" t="b">
        <v>0</v>
      </c>
      <c r="AB97" t="b">
        <v>0</v>
      </c>
      <c r="AC97" t="s">
        <v>149</v>
      </c>
      <c r="AD97" s="1" t="s">
        <v>229</v>
      </c>
      <c r="AE97" s="1" t="s">
        <v>229</v>
      </c>
      <c r="AF97" t="s">
        <v>141</v>
      </c>
      <c r="AG97" t="s">
        <v>141</v>
      </c>
    </row>
    <row r="98" spans="1:33" x14ac:dyDescent="0.25">
      <c r="A98">
        <v>5</v>
      </c>
      <c r="B98">
        <v>1</v>
      </c>
      <c r="C98" t="s">
        <v>112</v>
      </c>
      <c r="D98" t="s">
        <v>113</v>
      </c>
      <c r="E98" t="s">
        <v>79</v>
      </c>
      <c r="F98" t="e" cm="1">
        <f t="array" ref="F98">+ Evidence quality</f>
        <v>#NAME?</v>
      </c>
      <c r="G98" t="s">
        <v>206</v>
      </c>
      <c r="H98">
        <v>0.7</v>
      </c>
      <c r="I98">
        <v>0.3</v>
      </c>
      <c r="J98">
        <v>0</v>
      </c>
      <c r="K98">
        <v>7</v>
      </c>
      <c r="L98" t="s">
        <v>151</v>
      </c>
      <c r="M98" t="s">
        <v>152</v>
      </c>
      <c r="N98" t="s">
        <v>117</v>
      </c>
      <c r="O98" t="s">
        <v>153</v>
      </c>
      <c r="P98" t="s">
        <v>154</v>
      </c>
      <c r="Q98" t="b">
        <v>0</v>
      </c>
      <c r="R98">
        <v>0.73435600000000001</v>
      </c>
      <c r="S98">
        <v>4.9240000000000004</v>
      </c>
      <c r="T98">
        <v>2.1640000000000001</v>
      </c>
      <c r="U98">
        <v>0</v>
      </c>
      <c r="V98">
        <v>30</v>
      </c>
      <c r="W98">
        <v>20</v>
      </c>
      <c r="X98">
        <v>0.52673099999999995</v>
      </c>
      <c r="Y98" t="b">
        <v>0</v>
      </c>
      <c r="Z98" t="b">
        <v>0</v>
      </c>
      <c r="AA98" t="b">
        <v>0</v>
      </c>
      <c r="AB98" t="b">
        <v>0</v>
      </c>
      <c r="AC98" t="s">
        <v>155</v>
      </c>
      <c r="AD98" s="1" t="s">
        <v>230</v>
      </c>
      <c r="AE98" s="1" t="s">
        <v>230</v>
      </c>
      <c r="AF98" t="s">
        <v>117</v>
      </c>
      <c r="AG98" t="s">
        <v>154</v>
      </c>
    </row>
    <row r="99" spans="1:33" x14ac:dyDescent="0.25">
      <c r="A99">
        <v>5</v>
      </c>
      <c r="B99">
        <v>1</v>
      </c>
      <c r="C99" t="s">
        <v>112</v>
      </c>
      <c r="D99" t="s">
        <v>113</v>
      </c>
      <c r="E99" t="s">
        <v>79</v>
      </c>
      <c r="F99" t="e" cm="1">
        <f t="array" ref="F99">+ Evidence quality</f>
        <v>#NAME?</v>
      </c>
      <c r="G99" t="s">
        <v>206</v>
      </c>
      <c r="H99">
        <v>0.7</v>
      </c>
      <c r="I99">
        <v>0.3</v>
      </c>
      <c r="J99">
        <v>0</v>
      </c>
      <c r="K99">
        <v>8</v>
      </c>
      <c r="L99" t="s">
        <v>157</v>
      </c>
      <c r="M99" t="s">
        <v>158</v>
      </c>
      <c r="N99" t="s">
        <v>159</v>
      </c>
      <c r="O99" t="s">
        <v>160</v>
      </c>
      <c r="P99" t="s">
        <v>161</v>
      </c>
      <c r="Q99" t="b">
        <v>0</v>
      </c>
      <c r="R99">
        <v>0.72503399999999996</v>
      </c>
      <c r="S99">
        <v>5.5039999999999996</v>
      </c>
      <c r="T99">
        <v>2.1720000000000002</v>
      </c>
      <c r="U99">
        <v>0</v>
      </c>
      <c r="V99">
        <v>10</v>
      </c>
      <c r="W99">
        <v>10</v>
      </c>
      <c r="X99">
        <v>0.50009700000000001</v>
      </c>
      <c r="Y99" t="b">
        <v>0</v>
      </c>
      <c r="Z99" t="b">
        <v>0</v>
      </c>
      <c r="AA99" t="b">
        <v>0</v>
      </c>
      <c r="AB99" t="b">
        <v>0</v>
      </c>
      <c r="AC99" t="s">
        <v>162</v>
      </c>
      <c r="AD99" s="1" t="s">
        <v>204</v>
      </c>
      <c r="AE99" s="1" t="s">
        <v>204</v>
      </c>
      <c r="AF99" t="s">
        <v>159</v>
      </c>
      <c r="AG99" t="s">
        <v>161</v>
      </c>
    </row>
    <row r="100" spans="1:33" x14ac:dyDescent="0.25">
      <c r="A100">
        <v>5</v>
      </c>
      <c r="B100">
        <v>1</v>
      </c>
      <c r="C100" t="s">
        <v>112</v>
      </c>
      <c r="D100" t="s">
        <v>113</v>
      </c>
      <c r="E100" t="s">
        <v>79</v>
      </c>
      <c r="F100" t="e" cm="1">
        <f t="array" ref="F100">+ Evidence quality</f>
        <v>#NAME?</v>
      </c>
      <c r="G100" t="s">
        <v>206</v>
      </c>
      <c r="H100">
        <v>0.7</v>
      </c>
      <c r="I100">
        <v>0.3</v>
      </c>
      <c r="J100">
        <v>0</v>
      </c>
      <c r="K100">
        <v>9</v>
      </c>
      <c r="L100" t="s">
        <v>164</v>
      </c>
      <c r="M100" t="s">
        <v>165</v>
      </c>
      <c r="N100" t="s">
        <v>117</v>
      </c>
      <c r="O100" t="s">
        <v>166</v>
      </c>
      <c r="P100" t="s">
        <v>161</v>
      </c>
      <c r="Q100" t="b">
        <v>0</v>
      </c>
      <c r="R100">
        <v>0.70343100000000003</v>
      </c>
      <c r="S100">
        <v>4.4969999999999999</v>
      </c>
      <c r="T100">
        <v>2.2829999999999999</v>
      </c>
      <c r="U100">
        <v>0</v>
      </c>
      <c r="V100">
        <v>12</v>
      </c>
      <c r="W100">
        <v>12</v>
      </c>
      <c r="X100">
        <v>0.43837500000000001</v>
      </c>
      <c r="Y100" t="b">
        <v>0</v>
      </c>
      <c r="Z100" t="b">
        <v>0</v>
      </c>
      <c r="AA100" t="b">
        <v>0</v>
      </c>
      <c r="AB100" t="b">
        <v>0</v>
      </c>
      <c r="AC100" t="s">
        <v>167</v>
      </c>
      <c r="AD100" s="1" t="s">
        <v>205</v>
      </c>
      <c r="AE100" s="1" t="s">
        <v>205</v>
      </c>
      <c r="AF100" t="s">
        <v>117</v>
      </c>
      <c r="AG100" t="s">
        <v>161</v>
      </c>
    </row>
    <row r="101" spans="1:33" x14ac:dyDescent="0.25">
      <c r="A101">
        <v>5</v>
      </c>
      <c r="B101">
        <v>1</v>
      </c>
      <c r="C101" t="s">
        <v>112</v>
      </c>
      <c r="D101" t="s">
        <v>113</v>
      </c>
      <c r="E101" t="s">
        <v>79</v>
      </c>
      <c r="F101" t="e" cm="1">
        <f t="array" ref="F101">+ Evidence quality</f>
        <v>#NAME?</v>
      </c>
      <c r="G101" t="s">
        <v>206</v>
      </c>
      <c r="H101">
        <v>0.7</v>
      </c>
      <c r="I101">
        <v>0.3</v>
      </c>
      <c r="J101">
        <v>0</v>
      </c>
      <c r="K101">
        <v>10</v>
      </c>
      <c r="L101" t="s">
        <v>169</v>
      </c>
      <c r="M101" t="s">
        <v>170</v>
      </c>
      <c r="N101" t="s">
        <v>117</v>
      </c>
      <c r="O101" t="s">
        <v>171</v>
      </c>
      <c r="P101" t="s">
        <v>161</v>
      </c>
      <c r="Q101" t="b">
        <v>0</v>
      </c>
      <c r="R101">
        <v>0.71475999999999995</v>
      </c>
      <c r="S101">
        <v>4.2050000000000001</v>
      </c>
      <c r="T101">
        <v>2.0739999999999998</v>
      </c>
      <c r="U101">
        <v>0</v>
      </c>
      <c r="V101">
        <v>23</v>
      </c>
      <c r="W101">
        <v>20</v>
      </c>
      <c r="X101">
        <v>0.47074199999999999</v>
      </c>
      <c r="Y101" t="b">
        <v>0</v>
      </c>
      <c r="Z101" t="b">
        <v>0</v>
      </c>
      <c r="AA101" t="b">
        <v>0</v>
      </c>
      <c r="AB101" t="b">
        <v>0</v>
      </c>
      <c r="AC101" t="s">
        <v>172</v>
      </c>
      <c r="AD101" s="1" t="s">
        <v>173</v>
      </c>
      <c r="AE101" s="1" t="s">
        <v>173</v>
      </c>
      <c r="AF101" t="s">
        <v>117</v>
      </c>
      <c r="AG101" t="s">
        <v>161</v>
      </c>
    </row>
    <row r="102" spans="1:33" x14ac:dyDescent="0.25">
      <c r="A102">
        <v>1</v>
      </c>
      <c r="B102">
        <v>2</v>
      </c>
      <c r="C102" t="s">
        <v>112</v>
      </c>
      <c r="D102" t="s">
        <v>113</v>
      </c>
      <c r="E102" t="s">
        <v>80</v>
      </c>
      <c r="F102" t="e" cm="1">
        <f t="array" ref="F102">+ Temporal recency</f>
        <v>#NAME?</v>
      </c>
      <c r="G102" t="s">
        <v>231</v>
      </c>
      <c r="H102">
        <v>0.5</v>
      </c>
      <c r="I102">
        <v>0.3</v>
      </c>
      <c r="J102">
        <v>0.2</v>
      </c>
      <c r="K102">
        <v>1</v>
      </c>
      <c r="L102" t="s">
        <v>115</v>
      </c>
      <c r="M102" t="s">
        <v>116</v>
      </c>
      <c r="N102" t="s">
        <v>117</v>
      </c>
      <c r="O102" t="s">
        <v>118</v>
      </c>
      <c r="P102" t="s">
        <v>117</v>
      </c>
      <c r="Q102" t="b">
        <v>1</v>
      </c>
      <c r="R102">
        <v>0.75744699999999998</v>
      </c>
      <c r="S102">
        <v>11.167999999999999</v>
      </c>
      <c r="T102">
        <v>8.1929999999999996</v>
      </c>
      <c r="U102">
        <v>0</v>
      </c>
      <c r="V102">
        <v>27</v>
      </c>
      <c r="W102">
        <v>20</v>
      </c>
      <c r="X102">
        <v>0.59270599999999996</v>
      </c>
      <c r="Y102" t="b">
        <v>0</v>
      </c>
      <c r="Z102" t="b">
        <v>0</v>
      </c>
      <c r="AA102" t="b">
        <v>0</v>
      </c>
      <c r="AB102" t="b">
        <v>0</v>
      </c>
      <c r="AC102" t="s">
        <v>232</v>
      </c>
      <c r="AD102" s="1" t="s">
        <v>233</v>
      </c>
      <c r="AE102" s="1" t="s">
        <v>233</v>
      </c>
      <c r="AF102" t="s">
        <v>117</v>
      </c>
      <c r="AG102" t="s">
        <v>117</v>
      </c>
    </row>
    <row r="103" spans="1:33" x14ac:dyDescent="0.25">
      <c r="A103">
        <v>1</v>
      </c>
      <c r="B103">
        <v>2</v>
      </c>
      <c r="C103" t="s">
        <v>112</v>
      </c>
      <c r="D103" t="s">
        <v>113</v>
      </c>
      <c r="E103" t="s">
        <v>80</v>
      </c>
      <c r="F103" t="e" cm="1">
        <f t="array" ref="F103">+ Temporal recency</f>
        <v>#NAME?</v>
      </c>
      <c r="G103" t="s">
        <v>231</v>
      </c>
      <c r="H103">
        <v>0.5</v>
      </c>
      <c r="I103">
        <v>0.3</v>
      </c>
      <c r="J103">
        <v>0.2</v>
      </c>
      <c r="K103">
        <v>2</v>
      </c>
      <c r="L103" t="s">
        <v>121</v>
      </c>
      <c r="M103" t="s">
        <v>122</v>
      </c>
      <c r="N103" t="s">
        <v>123</v>
      </c>
      <c r="O103" t="s">
        <v>124</v>
      </c>
      <c r="P103" t="s">
        <v>125</v>
      </c>
      <c r="Q103" t="b">
        <v>0</v>
      </c>
      <c r="R103">
        <v>0.73483900000000002</v>
      </c>
      <c r="S103">
        <v>4.8140000000000001</v>
      </c>
      <c r="T103">
        <v>2.8439999999999999</v>
      </c>
      <c r="U103">
        <v>0</v>
      </c>
      <c r="V103">
        <v>16</v>
      </c>
      <c r="W103">
        <v>16</v>
      </c>
      <c r="X103">
        <v>0.52811200000000003</v>
      </c>
      <c r="Y103" t="b">
        <v>0</v>
      </c>
      <c r="Z103" t="b">
        <v>0</v>
      </c>
      <c r="AA103" t="b">
        <v>0</v>
      </c>
      <c r="AB103" t="b">
        <v>0</v>
      </c>
      <c r="AC103" t="s">
        <v>126</v>
      </c>
      <c r="AD103" s="1" t="s">
        <v>198</v>
      </c>
      <c r="AE103" s="1" t="s">
        <v>198</v>
      </c>
      <c r="AF103" t="s">
        <v>123</v>
      </c>
      <c r="AG103" t="s">
        <v>125</v>
      </c>
    </row>
    <row r="104" spans="1:33" x14ac:dyDescent="0.25">
      <c r="A104">
        <v>1</v>
      </c>
      <c r="B104">
        <v>2</v>
      </c>
      <c r="C104" t="s">
        <v>112</v>
      </c>
      <c r="D104" t="s">
        <v>113</v>
      </c>
      <c r="E104" t="s">
        <v>80</v>
      </c>
      <c r="F104" t="e" cm="1">
        <f t="array" ref="F104">+ Temporal recency</f>
        <v>#NAME?</v>
      </c>
      <c r="G104" t="s">
        <v>231</v>
      </c>
      <c r="H104">
        <v>0.5</v>
      </c>
      <c r="I104">
        <v>0.3</v>
      </c>
      <c r="J104">
        <v>0.2</v>
      </c>
      <c r="K104">
        <v>3</v>
      </c>
      <c r="L104" t="s">
        <v>128</v>
      </c>
      <c r="M104" t="s">
        <v>129</v>
      </c>
      <c r="N104" t="s">
        <v>117</v>
      </c>
      <c r="O104" t="s">
        <v>130</v>
      </c>
      <c r="P104" t="s">
        <v>131</v>
      </c>
      <c r="Q104" t="b">
        <v>0</v>
      </c>
      <c r="R104">
        <v>0.73704999999999998</v>
      </c>
      <c r="S104">
        <v>4.7229999999999999</v>
      </c>
      <c r="T104">
        <v>2.5779999999999998</v>
      </c>
      <c r="U104">
        <v>0</v>
      </c>
      <c r="V104">
        <v>17</v>
      </c>
      <c r="W104">
        <v>17</v>
      </c>
      <c r="X104">
        <v>0.53442900000000004</v>
      </c>
      <c r="Y104" t="b">
        <v>0</v>
      </c>
      <c r="Z104" t="b">
        <v>0</v>
      </c>
      <c r="AA104" t="b">
        <v>0</v>
      </c>
      <c r="AB104" t="b">
        <v>0</v>
      </c>
      <c r="AC104" t="s">
        <v>132</v>
      </c>
      <c r="AD104" s="1" t="s">
        <v>234</v>
      </c>
      <c r="AE104" s="1" t="s">
        <v>234</v>
      </c>
      <c r="AF104" t="s">
        <v>117</v>
      </c>
      <c r="AG104" t="s">
        <v>131</v>
      </c>
    </row>
    <row r="105" spans="1:33" x14ac:dyDescent="0.25">
      <c r="A105">
        <v>1</v>
      </c>
      <c r="B105">
        <v>2</v>
      </c>
      <c r="C105" t="s">
        <v>112</v>
      </c>
      <c r="D105" t="s">
        <v>113</v>
      </c>
      <c r="E105" t="s">
        <v>80</v>
      </c>
      <c r="F105" t="e" cm="1">
        <f t="array" ref="F105">+ Temporal recency</f>
        <v>#NAME?</v>
      </c>
      <c r="G105" t="s">
        <v>231</v>
      </c>
      <c r="H105">
        <v>0.5</v>
      </c>
      <c r="I105">
        <v>0.3</v>
      </c>
      <c r="J105">
        <v>0.2</v>
      </c>
      <c r="K105">
        <v>4</v>
      </c>
      <c r="L105" t="s">
        <v>134</v>
      </c>
      <c r="M105" t="s">
        <v>135</v>
      </c>
      <c r="N105" t="s">
        <v>117</v>
      </c>
      <c r="O105" t="s">
        <v>136</v>
      </c>
      <c r="P105" t="s">
        <v>125</v>
      </c>
      <c r="Q105" t="b">
        <v>0</v>
      </c>
      <c r="R105">
        <v>0.74739699999999998</v>
      </c>
      <c r="S105">
        <v>7.3029999999999999</v>
      </c>
      <c r="T105">
        <v>2.2410000000000001</v>
      </c>
      <c r="U105">
        <v>0</v>
      </c>
      <c r="V105">
        <v>22</v>
      </c>
      <c r="W105">
        <v>20</v>
      </c>
      <c r="X105">
        <v>0.56399100000000002</v>
      </c>
      <c r="Y105" t="b">
        <v>0</v>
      </c>
      <c r="Z105" t="b">
        <v>0</v>
      </c>
      <c r="AA105" t="b">
        <v>0</v>
      </c>
      <c r="AB105" t="b">
        <v>0</v>
      </c>
      <c r="AC105" t="s">
        <v>235</v>
      </c>
      <c r="AD105" s="1" t="s">
        <v>236</v>
      </c>
      <c r="AE105" s="1" t="s">
        <v>236</v>
      </c>
      <c r="AF105" t="s">
        <v>117</v>
      </c>
      <c r="AG105" t="s">
        <v>125</v>
      </c>
    </row>
    <row r="106" spans="1:33" x14ac:dyDescent="0.25">
      <c r="A106">
        <v>1</v>
      </c>
      <c r="B106">
        <v>2</v>
      </c>
      <c r="C106" t="s">
        <v>112</v>
      </c>
      <c r="D106" t="s">
        <v>113</v>
      </c>
      <c r="E106" t="s">
        <v>80</v>
      </c>
      <c r="F106" t="e" cm="1">
        <f t="array" ref="F106">+ Temporal recency</f>
        <v>#NAME?</v>
      </c>
      <c r="G106" t="s">
        <v>231</v>
      </c>
      <c r="H106">
        <v>0.5</v>
      </c>
      <c r="I106">
        <v>0.3</v>
      </c>
      <c r="J106">
        <v>0.2</v>
      </c>
      <c r="K106">
        <v>5</v>
      </c>
      <c r="L106" t="s">
        <v>139</v>
      </c>
      <c r="M106" t="s">
        <v>140</v>
      </c>
      <c r="N106" t="s">
        <v>141</v>
      </c>
      <c r="O106" t="s">
        <v>142</v>
      </c>
      <c r="P106" t="s">
        <v>143</v>
      </c>
      <c r="Q106" t="b">
        <v>0</v>
      </c>
      <c r="R106">
        <v>0.74609700000000001</v>
      </c>
      <c r="S106">
        <v>6.1520000000000001</v>
      </c>
      <c r="T106">
        <v>2.3610000000000002</v>
      </c>
      <c r="U106">
        <v>0</v>
      </c>
      <c r="V106">
        <v>19</v>
      </c>
      <c r="W106">
        <v>19</v>
      </c>
      <c r="X106">
        <v>0.56027800000000005</v>
      </c>
      <c r="Y106" t="b">
        <v>0</v>
      </c>
      <c r="Z106" t="b">
        <v>0</v>
      </c>
      <c r="AA106" t="b">
        <v>0</v>
      </c>
      <c r="AB106" t="b">
        <v>0</v>
      </c>
      <c r="AC106" t="s">
        <v>144</v>
      </c>
      <c r="AD106" s="1" t="s">
        <v>237</v>
      </c>
      <c r="AE106" s="1" t="s">
        <v>237</v>
      </c>
      <c r="AF106" t="s">
        <v>141</v>
      </c>
      <c r="AG106" t="s">
        <v>143</v>
      </c>
    </row>
    <row r="107" spans="1:33" x14ac:dyDescent="0.25">
      <c r="A107">
        <v>1</v>
      </c>
      <c r="B107">
        <v>2</v>
      </c>
      <c r="C107" t="s">
        <v>112</v>
      </c>
      <c r="D107" t="s">
        <v>113</v>
      </c>
      <c r="E107" t="s">
        <v>80</v>
      </c>
      <c r="F107" t="e" cm="1">
        <f t="array" ref="F107">+ Temporal recency</f>
        <v>#NAME?</v>
      </c>
      <c r="G107" t="s">
        <v>231</v>
      </c>
      <c r="H107">
        <v>0.5</v>
      </c>
      <c r="I107">
        <v>0.3</v>
      </c>
      <c r="J107">
        <v>0.2</v>
      </c>
      <c r="K107">
        <v>6</v>
      </c>
      <c r="L107" t="s">
        <v>146</v>
      </c>
      <c r="M107" t="s">
        <v>147</v>
      </c>
      <c r="N107" t="s">
        <v>141</v>
      </c>
      <c r="O107" t="s">
        <v>148</v>
      </c>
      <c r="P107" t="s">
        <v>123</v>
      </c>
      <c r="Q107" t="b">
        <v>0</v>
      </c>
      <c r="R107">
        <v>0.754498</v>
      </c>
      <c r="S107">
        <v>6.6210000000000004</v>
      </c>
      <c r="T107">
        <v>2.2330000000000001</v>
      </c>
      <c r="U107">
        <v>0</v>
      </c>
      <c r="V107">
        <v>27</v>
      </c>
      <c r="W107">
        <v>20</v>
      </c>
      <c r="X107">
        <v>0.58428000000000002</v>
      </c>
      <c r="Y107" t="b">
        <v>0</v>
      </c>
      <c r="Z107" t="b">
        <v>0</v>
      </c>
      <c r="AA107" t="b">
        <v>0</v>
      </c>
      <c r="AB107" t="b">
        <v>0</v>
      </c>
      <c r="AC107" t="s">
        <v>238</v>
      </c>
      <c r="AD107" s="1" t="s">
        <v>239</v>
      </c>
      <c r="AE107" s="1" t="s">
        <v>239</v>
      </c>
      <c r="AF107" t="s">
        <v>141</v>
      </c>
      <c r="AG107" t="s">
        <v>123</v>
      </c>
    </row>
    <row r="108" spans="1:33" x14ac:dyDescent="0.25">
      <c r="A108">
        <v>1</v>
      </c>
      <c r="B108">
        <v>2</v>
      </c>
      <c r="C108" t="s">
        <v>112</v>
      </c>
      <c r="D108" t="s">
        <v>113</v>
      </c>
      <c r="E108" t="s">
        <v>80</v>
      </c>
      <c r="F108" t="e" cm="1">
        <f t="array" ref="F108">+ Temporal recency</f>
        <v>#NAME?</v>
      </c>
      <c r="G108" t="s">
        <v>231</v>
      </c>
      <c r="H108">
        <v>0.5</v>
      </c>
      <c r="I108">
        <v>0.3</v>
      </c>
      <c r="J108">
        <v>0.2</v>
      </c>
      <c r="K108">
        <v>7</v>
      </c>
      <c r="L108" t="s">
        <v>151</v>
      </c>
      <c r="M108" t="s">
        <v>152</v>
      </c>
      <c r="N108" t="s">
        <v>117</v>
      </c>
      <c r="O108" t="s">
        <v>153</v>
      </c>
      <c r="P108" t="s">
        <v>125</v>
      </c>
      <c r="Q108" t="b">
        <v>0</v>
      </c>
      <c r="R108">
        <v>0.75763599999999998</v>
      </c>
      <c r="S108">
        <v>5.758</v>
      </c>
      <c r="T108">
        <v>2.25</v>
      </c>
      <c r="U108">
        <v>0</v>
      </c>
      <c r="V108">
        <v>30</v>
      </c>
      <c r="W108">
        <v>20</v>
      </c>
      <c r="X108">
        <v>0.59324699999999997</v>
      </c>
      <c r="Y108" t="b">
        <v>0</v>
      </c>
      <c r="Z108" t="b">
        <v>0</v>
      </c>
      <c r="AA108" t="b">
        <v>0</v>
      </c>
      <c r="AB108" t="b">
        <v>0</v>
      </c>
      <c r="AC108" t="s">
        <v>240</v>
      </c>
      <c r="AD108" s="1" t="s">
        <v>241</v>
      </c>
      <c r="AE108" s="1" t="s">
        <v>241</v>
      </c>
      <c r="AF108" t="s">
        <v>117</v>
      </c>
      <c r="AG108" t="s">
        <v>125</v>
      </c>
    </row>
    <row r="109" spans="1:33" x14ac:dyDescent="0.25">
      <c r="A109">
        <v>1</v>
      </c>
      <c r="B109">
        <v>2</v>
      </c>
      <c r="C109" t="s">
        <v>112</v>
      </c>
      <c r="D109" t="s">
        <v>113</v>
      </c>
      <c r="E109" t="s">
        <v>80</v>
      </c>
      <c r="F109" t="e" cm="1">
        <f t="array" ref="F109">+ Temporal recency</f>
        <v>#NAME?</v>
      </c>
      <c r="G109" t="s">
        <v>231</v>
      </c>
      <c r="H109">
        <v>0.5</v>
      </c>
      <c r="I109">
        <v>0.3</v>
      </c>
      <c r="J109">
        <v>0.2</v>
      </c>
      <c r="K109">
        <v>8</v>
      </c>
      <c r="L109" t="s">
        <v>157</v>
      </c>
      <c r="M109" t="s">
        <v>158</v>
      </c>
      <c r="N109" t="s">
        <v>159</v>
      </c>
      <c r="O109" t="s">
        <v>160</v>
      </c>
      <c r="P109" t="s">
        <v>161</v>
      </c>
      <c r="Q109" t="b">
        <v>0</v>
      </c>
      <c r="R109">
        <v>0.75232600000000005</v>
      </c>
      <c r="S109">
        <v>5.3360000000000003</v>
      </c>
      <c r="T109">
        <v>2.4</v>
      </c>
      <c r="U109">
        <v>0</v>
      </c>
      <c r="V109">
        <v>10</v>
      </c>
      <c r="W109">
        <v>10</v>
      </c>
      <c r="X109">
        <v>0.57807399999999998</v>
      </c>
      <c r="Y109" t="b">
        <v>0</v>
      </c>
      <c r="Z109" t="b">
        <v>0</v>
      </c>
      <c r="AA109" t="b">
        <v>0</v>
      </c>
      <c r="AB109" t="b">
        <v>0</v>
      </c>
      <c r="AC109" t="s">
        <v>162</v>
      </c>
      <c r="AD109" s="1" t="s">
        <v>242</v>
      </c>
      <c r="AE109" s="1" t="s">
        <v>242</v>
      </c>
      <c r="AF109" t="s">
        <v>159</v>
      </c>
      <c r="AG109" t="s">
        <v>161</v>
      </c>
    </row>
    <row r="110" spans="1:33" x14ac:dyDescent="0.25">
      <c r="A110">
        <v>1</v>
      </c>
      <c r="B110">
        <v>2</v>
      </c>
      <c r="C110" t="s">
        <v>112</v>
      </c>
      <c r="D110" t="s">
        <v>113</v>
      </c>
      <c r="E110" t="s">
        <v>80</v>
      </c>
      <c r="F110" t="e" cm="1">
        <f t="array" ref="F110">+ Temporal recency</f>
        <v>#NAME?</v>
      </c>
      <c r="G110" t="s">
        <v>231</v>
      </c>
      <c r="H110">
        <v>0.5</v>
      </c>
      <c r="I110">
        <v>0.3</v>
      </c>
      <c r="J110">
        <v>0.2</v>
      </c>
      <c r="K110">
        <v>9</v>
      </c>
      <c r="L110" t="s">
        <v>164</v>
      </c>
      <c r="M110" t="s">
        <v>165</v>
      </c>
      <c r="N110" t="s">
        <v>117</v>
      </c>
      <c r="O110" t="s">
        <v>166</v>
      </c>
      <c r="P110" t="s">
        <v>161</v>
      </c>
      <c r="Q110" t="b">
        <v>0</v>
      </c>
      <c r="R110">
        <v>0.73730600000000002</v>
      </c>
      <c r="S110">
        <v>4.8630000000000004</v>
      </c>
      <c r="T110">
        <v>2.4540000000000002</v>
      </c>
      <c r="U110">
        <v>0</v>
      </c>
      <c r="V110">
        <v>12</v>
      </c>
      <c r="W110">
        <v>12</v>
      </c>
      <c r="X110">
        <v>0.53515900000000005</v>
      </c>
      <c r="Y110" t="b">
        <v>0</v>
      </c>
      <c r="Z110" t="b">
        <v>0</v>
      </c>
      <c r="AA110" t="b">
        <v>0</v>
      </c>
      <c r="AB110" t="b">
        <v>0</v>
      </c>
      <c r="AC110" t="s">
        <v>167</v>
      </c>
      <c r="AD110" s="1" t="s">
        <v>243</v>
      </c>
      <c r="AE110" s="1" t="s">
        <v>243</v>
      </c>
      <c r="AF110" t="s">
        <v>117</v>
      </c>
      <c r="AG110" t="s">
        <v>161</v>
      </c>
    </row>
    <row r="111" spans="1:33" x14ac:dyDescent="0.25">
      <c r="A111">
        <v>1</v>
      </c>
      <c r="B111">
        <v>2</v>
      </c>
      <c r="C111" t="s">
        <v>112</v>
      </c>
      <c r="D111" t="s">
        <v>113</v>
      </c>
      <c r="E111" t="s">
        <v>80</v>
      </c>
      <c r="F111" t="e" cm="1">
        <f t="array" ref="F111">+ Temporal recency</f>
        <v>#NAME?</v>
      </c>
      <c r="G111" t="s">
        <v>231</v>
      </c>
      <c r="H111">
        <v>0.5</v>
      </c>
      <c r="I111">
        <v>0.3</v>
      </c>
      <c r="J111">
        <v>0.2</v>
      </c>
      <c r="K111">
        <v>10</v>
      </c>
      <c r="L111" t="s">
        <v>169</v>
      </c>
      <c r="M111" t="s">
        <v>170</v>
      </c>
      <c r="N111" t="s">
        <v>117</v>
      </c>
      <c r="O111" t="s">
        <v>171</v>
      </c>
      <c r="P111" t="s">
        <v>161</v>
      </c>
      <c r="Q111" t="b">
        <v>0</v>
      </c>
      <c r="R111">
        <v>0.74351500000000004</v>
      </c>
      <c r="S111">
        <v>5.117</v>
      </c>
      <c r="T111">
        <v>2.1829999999999998</v>
      </c>
      <c r="U111">
        <v>0</v>
      </c>
      <c r="V111">
        <v>23</v>
      </c>
      <c r="W111">
        <v>20</v>
      </c>
      <c r="X111">
        <v>0.55289999999999995</v>
      </c>
      <c r="Y111" t="b">
        <v>0</v>
      </c>
      <c r="Z111" t="b">
        <v>0</v>
      </c>
      <c r="AA111" t="b">
        <v>0</v>
      </c>
      <c r="AB111" t="b">
        <v>0</v>
      </c>
      <c r="AC111" t="s">
        <v>244</v>
      </c>
      <c r="AD111" s="1" t="s">
        <v>245</v>
      </c>
      <c r="AE111" s="1" t="s">
        <v>245</v>
      </c>
      <c r="AF111" t="s">
        <v>117</v>
      </c>
      <c r="AG111" t="s">
        <v>161</v>
      </c>
    </row>
    <row r="112" spans="1:33" x14ac:dyDescent="0.25">
      <c r="A112">
        <v>2</v>
      </c>
      <c r="B112">
        <v>2</v>
      </c>
      <c r="C112" t="s">
        <v>112</v>
      </c>
      <c r="D112" t="s">
        <v>113</v>
      </c>
      <c r="E112" t="s">
        <v>80</v>
      </c>
      <c r="F112" t="e" cm="1">
        <f t="array" ref="F112">+ Temporal recency</f>
        <v>#NAME?</v>
      </c>
      <c r="G112" t="s">
        <v>231</v>
      </c>
      <c r="H112">
        <v>0.5</v>
      </c>
      <c r="I112">
        <v>0.3</v>
      </c>
      <c r="J112">
        <v>0.2</v>
      </c>
      <c r="K112">
        <v>1</v>
      </c>
      <c r="L112" t="s">
        <v>115</v>
      </c>
      <c r="M112" t="s">
        <v>116</v>
      </c>
      <c r="N112" t="s">
        <v>117</v>
      </c>
      <c r="O112" t="s">
        <v>118</v>
      </c>
      <c r="P112" t="s">
        <v>117</v>
      </c>
      <c r="Q112" t="b">
        <v>1</v>
      </c>
      <c r="R112">
        <v>0.75744800000000001</v>
      </c>
      <c r="S112">
        <v>4.851</v>
      </c>
      <c r="T112">
        <v>2.2570000000000001</v>
      </c>
      <c r="U112">
        <v>0</v>
      </c>
      <c r="V112">
        <v>27</v>
      </c>
      <c r="W112">
        <v>20</v>
      </c>
      <c r="X112">
        <v>0.59270699999999998</v>
      </c>
      <c r="Y112" t="b">
        <v>0</v>
      </c>
      <c r="Z112" t="b">
        <v>0</v>
      </c>
      <c r="AA112" t="b">
        <v>0</v>
      </c>
      <c r="AB112" t="b">
        <v>0</v>
      </c>
      <c r="AC112" t="s">
        <v>232</v>
      </c>
      <c r="AD112" s="1" t="s">
        <v>246</v>
      </c>
      <c r="AE112" s="1" t="s">
        <v>246</v>
      </c>
      <c r="AF112" t="s">
        <v>117</v>
      </c>
      <c r="AG112" t="s">
        <v>117</v>
      </c>
    </row>
    <row r="113" spans="1:33" x14ac:dyDescent="0.25">
      <c r="A113">
        <v>2</v>
      </c>
      <c r="B113">
        <v>2</v>
      </c>
      <c r="C113" t="s">
        <v>112</v>
      </c>
      <c r="D113" t="s">
        <v>113</v>
      </c>
      <c r="E113" t="s">
        <v>80</v>
      </c>
      <c r="F113" t="e" cm="1">
        <f t="array" ref="F113">+ Temporal recency</f>
        <v>#NAME?</v>
      </c>
      <c r="G113" t="s">
        <v>231</v>
      </c>
      <c r="H113">
        <v>0.5</v>
      </c>
      <c r="I113">
        <v>0.3</v>
      </c>
      <c r="J113">
        <v>0.2</v>
      </c>
      <c r="K113">
        <v>2</v>
      </c>
      <c r="L113" t="s">
        <v>121</v>
      </c>
      <c r="M113" t="s">
        <v>122</v>
      </c>
      <c r="N113" t="s">
        <v>123</v>
      </c>
      <c r="O113" t="s">
        <v>124</v>
      </c>
      <c r="P113" t="s">
        <v>125</v>
      </c>
      <c r="Q113" t="b">
        <v>0</v>
      </c>
      <c r="R113">
        <v>0.73483399999999999</v>
      </c>
      <c r="S113">
        <v>4.4059999999999997</v>
      </c>
      <c r="T113">
        <v>2.3479999999999999</v>
      </c>
      <c r="U113">
        <v>0</v>
      </c>
      <c r="V113">
        <v>16</v>
      </c>
      <c r="W113">
        <v>16</v>
      </c>
      <c r="X113">
        <v>0.52809700000000004</v>
      </c>
      <c r="Y113" t="b">
        <v>0</v>
      </c>
      <c r="Z113" t="b">
        <v>0</v>
      </c>
      <c r="AA113" t="b">
        <v>0</v>
      </c>
      <c r="AB113" t="b">
        <v>0</v>
      </c>
      <c r="AC113" t="s">
        <v>126</v>
      </c>
      <c r="AD113" s="1" t="s">
        <v>247</v>
      </c>
      <c r="AE113" s="1" t="s">
        <v>247</v>
      </c>
      <c r="AF113" t="s">
        <v>123</v>
      </c>
      <c r="AG113" t="s">
        <v>125</v>
      </c>
    </row>
    <row r="114" spans="1:33" x14ac:dyDescent="0.25">
      <c r="A114">
        <v>2</v>
      </c>
      <c r="B114">
        <v>2</v>
      </c>
      <c r="C114" t="s">
        <v>112</v>
      </c>
      <c r="D114" t="s">
        <v>113</v>
      </c>
      <c r="E114" t="s">
        <v>80</v>
      </c>
      <c r="F114" t="e" cm="1">
        <f t="array" ref="F114">+ Temporal recency</f>
        <v>#NAME?</v>
      </c>
      <c r="G114" t="s">
        <v>231</v>
      </c>
      <c r="H114">
        <v>0.5</v>
      </c>
      <c r="I114">
        <v>0.3</v>
      </c>
      <c r="J114">
        <v>0.2</v>
      </c>
      <c r="K114">
        <v>3</v>
      </c>
      <c r="L114" t="s">
        <v>128</v>
      </c>
      <c r="M114" t="s">
        <v>129</v>
      </c>
      <c r="N114" t="s">
        <v>117</v>
      </c>
      <c r="O114" t="s">
        <v>130</v>
      </c>
      <c r="P114" t="s">
        <v>131</v>
      </c>
      <c r="Q114" t="b">
        <v>0</v>
      </c>
      <c r="R114">
        <v>0.73705200000000004</v>
      </c>
      <c r="S114">
        <v>4.46</v>
      </c>
      <c r="T114">
        <v>2.7290000000000001</v>
      </c>
      <c r="U114">
        <v>0</v>
      </c>
      <c r="V114">
        <v>17</v>
      </c>
      <c r="W114">
        <v>17</v>
      </c>
      <c r="X114">
        <v>0.53443399999999996</v>
      </c>
      <c r="Y114" t="b">
        <v>0</v>
      </c>
      <c r="Z114" t="b">
        <v>0</v>
      </c>
      <c r="AA114" t="b">
        <v>0</v>
      </c>
      <c r="AB114" t="b">
        <v>0</v>
      </c>
      <c r="AC114" t="s">
        <v>132</v>
      </c>
      <c r="AD114" s="1" t="s">
        <v>248</v>
      </c>
      <c r="AE114" s="1" t="s">
        <v>248</v>
      </c>
      <c r="AF114" t="s">
        <v>117</v>
      </c>
      <c r="AG114" t="s">
        <v>131</v>
      </c>
    </row>
    <row r="115" spans="1:33" x14ac:dyDescent="0.25">
      <c r="A115">
        <v>2</v>
      </c>
      <c r="B115">
        <v>2</v>
      </c>
      <c r="C115" t="s">
        <v>112</v>
      </c>
      <c r="D115" t="s">
        <v>113</v>
      </c>
      <c r="E115" t="s">
        <v>80</v>
      </c>
      <c r="F115" t="e" cm="1">
        <f t="array" ref="F115">+ Temporal recency</f>
        <v>#NAME?</v>
      </c>
      <c r="G115" t="s">
        <v>231</v>
      </c>
      <c r="H115">
        <v>0.5</v>
      </c>
      <c r="I115">
        <v>0.3</v>
      </c>
      <c r="J115">
        <v>0.2</v>
      </c>
      <c r="K115">
        <v>4</v>
      </c>
      <c r="L115" t="s">
        <v>134</v>
      </c>
      <c r="M115" t="s">
        <v>135</v>
      </c>
      <c r="N115" t="s">
        <v>117</v>
      </c>
      <c r="O115" t="s">
        <v>136</v>
      </c>
      <c r="P115" t="s">
        <v>125</v>
      </c>
      <c r="Q115" t="b">
        <v>0</v>
      </c>
      <c r="R115">
        <v>0.74739699999999998</v>
      </c>
      <c r="S115">
        <v>5.6059999999999999</v>
      </c>
      <c r="T115">
        <v>2.427</v>
      </c>
      <c r="U115">
        <v>0</v>
      </c>
      <c r="V115">
        <v>22</v>
      </c>
      <c r="W115">
        <v>20</v>
      </c>
      <c r="X115">
        <v>0.56398999999999999</v>
      </c>
      <c r="Y115" t="b">
        <v>0</v>
      </c>
      <c r="Z115" t="b">
        <v>0</v>
      </c>
      <c r="AA115" t="b">
        <v>0</v>
      </c>
      <c r="AB115" t="b">
        <v>0</v>
      </c>
      <c r="AC115" t="s">
        <v>235</v>
      </c>
      <c r="AD115" s="1" t="s">
        <v>249</v>
      </c>
      <c r="AE115" s="1" t="s">
        <v>249</v>
      </c>
      <c r="AF115" t="s">
        <v>117</v>
      </c>
      <c r="AG115" t="s">
        <v>125</v>
      </c>
    </row>
    <row r="116" spans="1:33" x14ac:dyDescent="0.25">
      <c r="A116">
        <v>2</v>
      </c>
      <c r="B116">
        <v>2</v>
      </c>
      <c r="C116" t="s">
        <v>112</v>
      </c>
      <c r="D116" t="s">
        <v>113</v>
      </c>
      <c r="E116" t="s">
        <v>80</v>
      </c>
      <c r="F116" t="e" cm="1">
        <f t="array" ref="F116">+ Temporal recency</f>
        <v>#NAME?</v>
      </c>
      <c r="G116" t="s">
        <v>231</v>
      </c>
      <c r="H116">
        <v>0.5</v>
      </c>
      <c r="I116">
        <v>0.3</v>
      </c>
      <c r="J116">
        <v>0.2</v>
      </c>
      <c r="K116">
        <v>5</v>
      </c>
      <c r="L116" t="s">
        <v>139</v>
      </c>
      <c r="M116" t="s">
        <v>140</v>
      </c>
      <c r="N116" t="s">
        <v>141</v>
      </c>
      <c r="O116" t="s">
        <v>142</v>
      </c>
      <c r="P116" t="s">
        <v>143</v>
      </c>
      <c r="Q116" t="b">
        <v>0</v>
      </c>
      <c r="R116">
        <v>0.74609599999999998</v>
      </c>
      <c r="S116">
        <v>5.1470000000000002</v>
      </c>
      <c r="T116">
        <v>3.3959999999999999</v>
      </c>
      <c r="U116">
        <v>0</v>
      </c>
      <c r="V116">
        <v>19</v>
      </c>
      <c r="W116">
        <v>19</v>
      </c>
      <c r="X116">
        <v>0.56027499999999997</v>
      </c>
      <c r="Y116" t="b">
        <v>0</v>
      </c>
      <c r="Z116" t="b">
        <v>0</v>
      </c>
      <c r="AA116" t="b">
        <v>0</v>
      </c>
      <c r="AB116" t="b">
        <v>0</v>
      </c>
      <c r="AC116" t="s">
        <v>144</v>
      </c>
      <c r="AD116" s="1" t="s">
        <v>250</v>
      </c>
      <c r="AE116" s="1" t="s">
        <v>250</v>
      </c>
      <c r="AF116" t="s">
        <v>141</v>
      </c>
      <c r="AG116" t="s">
        <v>143</v>
      </c>
    </row>
    <row r="117" spans="1:33" x14ac:dyDescent="0.25">
      <c r="A117">
        <v>2</v>
      </c>
      <c r="B117">
        <v>2</v>
      </c>
      <c r="C117" t="s">
        <v>112</v>
      </c>
      <c r="D117" t="s">
        <v>113</v>
      </c>
      <c r="E117" t="s">
        <v>80</v>
      </c>
      <c r="F117" t="e" cm="1">
        <f t="array" ref="F117">+ Temporal recency</f>
        <v>#NAME?</v>
      </c>
      <c r="G117" t="s">
        <v>231</v>
      </c>
      <c r="H117">
        <v>0.5</v>
      </c>
      <c r="I117">
        <v>0.3</v>
      </c>
      <c r="J117">
        <v>0.2</v>
      </c>
      <c r="K117">
        <v>6</v>
      </c>
      <c r="L117" t="s">
        <v>146</v>
      </c>
      <c r="M117" t="s">
        <v>147</v>
      </c>
      <c r="N117" t="s">
        <v>141</v>
      </c>
      <c r="O117" t="s">
        <v>148</v>
      </c>
      <c r="P117" t="s">
        <v>123</v>
      </c>
      <c r="Q117" t="b">
        <v>0</v>
      </c>
      <c r="R117">
        <v>0.754498</v>
      </c>
      <c r="S117">
        <v>5.4720000000000004</v>
      </c>
      <c r="T117">
        <v>2.613</v>
      </c>
      <c r="U117">
        <v>0</v>
      </c>
      <c r="V117">
        <v>27</v>
      </c>
      <c r="W117">
        <v>20</v>
      </c>
      <c r="X117">
        <v>0.58428000000000002</v>
      </c>
      <c r="Y117" t="b">
        <v>0</v>
      </c>
      <c r="Z117" t="b">
        <v>0</v>
      </c>
      <c r="AA117" t="b">
        <v>0</v>
      </c>
      <c r="AB117" t="b">
        <v>0</v>
      </c>
      <c r="AC117" t="s">
        <v>238</v>
      </c>
      <c r="AD117" s="1" t="s">
        <v>251</v>
      </c>
      <c r="AE117" s="1" t="s">
        <v>251</v>
      </c>
      <c r="AF117" t="s">
        <v>141</v>
      </c>
      <c r="AG117" t="s">
        <v>123</v>
      </c>
    </row>
    <row r="118" spans="1:33" x14ac:dyDescent="0.25">
      <c r="A118">
        <v>2</v>
      </c>
      <c r="B118">
        <v>2</v>
      </c>
      <c r="C118" t="s">
        <v>112</v>
      </c>
      <c r="D118" t="s">
        <v>113</v>
      </c>
      <c r="E118" t="s">
        <v>80</v>
      </c>
      <c r="F118" t="e" cm="1">
        <f t="array" ref="F118">+ Temporal recency</f>
        <v>#NAME?</v>
      </c>
      <c r="G118" t="s">
        <v>231</v>
      </c>
      <c r="H118">
        <v>0.5</v>
      </c>
      <c r="I118">
        <v>0.3</v>
      </c>
      <c r="J118">
        <v>0.2</v>
      </c>
      <c r="K118">
        <v>7</v>
      </c>
      <c r="L118" t="s">
        <v>151</v>
      </c>
      <c r="M118" t="s">
        <v>152</v>
      </c>
      <c r="N118" t="s">
        <v>117</v>
      </c>
      <c r="O118" t="s">
        <v>153</v>
      </c>
      <c r="P118" t="s">
        <v>125</v>
      </c>
      <c r="Q118" t="b">
        <v>0</v>
      </c>
      <c r="R118">
        <v>0.75767499999999999</v>
      </c>
      <c r="S118">
        <v>5.3070000000000004</v>
      </c>
      <c r="T118">
        <v>2.6509999999999998</v>
      </c>
      <c r="U118">
        <v>0</v>
      </c>
      <c r="V118">
        <v>30</v>
      </c>
      <c r="W118">
        <v>20</v>
      </c>
      <c r="X118">
        <v>0.59335599999999999</v>
      </c>
      <c r="Y118" t="b">
        <v>0</v>
      </c>
      <c r="Z118" t="b">
        <v>0</v>
      </c>
      <c r="AA118" t="b">
        <v>0</v>
      </c>
      <c r="AB118" t="b">
        <v>0</v>
      </c>
      <c r="AC118" t="s">
        <v>240</v>
      </c>
      <c r="AD118" s="1" t="s">
        <v>252</v>
      </c>
      <c r="AE118" s="1" t="s">
        <v>252</v>
      </c>
      <c r="AF118" t="s">
        <v>117</v>
      </c>
      <c r="AG118" t="s">
        <v>125</v>
      </c>
    </row>
    <row r="119" spans="1:33" x14ac:dyDescent="0.25">
      <c r="A119">
        <v>2</v>
      </c>
      <c r="B119">
        <v>2</v>
      </c>
      <c r="C119" t="s">
        <v>112</v>
      </c>
      <c r="D119" t="s">
        <v>113</v>
      </c>
      <c r="E119" t="s">
        <v>80</v>
      </c>
      <c r="F119" t="e" cm="1">
        <f t="array" ref="F119">+ Temporal recency</f>
        <v>#NAME?</v>
      </c>
      <c r="G119" t="s">
        <v>231</v>
      </c>
      <c r="H119">
        <v>0.5</v>
      </c>
      <c r="I119">
        <v>0.3</v>
      </c>
      <c r="J119">
        <v>0.2</v>
      </c>
      <c r="K119">
        <v>8</v>
      </c>
      <c r="L119" t="s">
        <v>157</v>
      </c>
      <c r="M119" t="s">
        <v>158</v>
      </c>
      <c r="N119" t="s">
        <v>159</v>
      </c>
      <c r="O119" t="s">
        <v>160</v>
      </c>
      <c r="P119" t="s">
        <v>161</v>
      </c>
      <c r="Q119" t="b">
        <v>0</v>
      </c>
      <c r="R119">
        <v>0.75232600000000005</v>
      </c>
      <c r="S119">
        <v>5.5789999999999997</v>
      </c>
      <c r="T119">
        <v>2.5680000000000001</v>
      </c>
      <c r="U119">
        <v>0</v>
      </c>
      <c r="V119">
        <v>10</v>
      </c>
      <c r="W119">
        <v>10</v>
      </c>
      <c r="X119">
        <v>0.57807399999999998</v>
      </c>
      <c r="Y119" t="b">
        <v>0</v>
      </c>
      <c r="Z119" t="b">
        <v>0</v>
      </c>
      <c r="AA119" t="b">
        <v>0</v>
      </c>
      <c r="AB119" t="b">
        <v>0</v>
      </c>
      <c r="AC119" t="s">
        <v>162</v>
      </c>
      <c r="AD119" s="1" t="s">
        <v>253</v>
      </c>
      <c r="AE119" s="1" t="s">
        <v>253</v>
      </c>
      <c r="AF119" t="s">
        <v>159</v>
      </c>
      <c r="AG119" t="s">
        <v>161</v>
      </c>
    </row>
    <row r="120" spans="1:33" x14ac:dyDescent="0.25">
      <c r="A120">
        <v>2</v>
      </c>
      <c r="B120">
        <v>2</v>
      </c>
      <c r="C120" t="s">
        <v>112</v>
      </c>
      <c r="D120" t="s">
        <v>113</v>
      </c>
      <c r="E120" t="s">
        <v>80</v>
      </c>
      <c r="F120" t="e" cm="1">
        <f t="array" ref="F120">+ Temporal recency</f>
        <v>#NAME?</v>
      </c>
      <c r="G120" t="s">
        <v>231</v>
      </c>
      <c r="H120">
        <v>0.5</v>
      </c>
      <c r="I120">
        <v>0.3</v>
      </c>
      <c r="J120">
        <v>0.2</v>
      </c>
      <c r="K120">
        <v>9</v>
      </c>
      <c r="L120" t="s">
        <v>164</v>
      </c>
      <c r="M120" t="s">
        <v>165</v>
      </c>
      <c r="N120" t="s">
        <v>117</v>
      </c>
      <c r="O120" t="s">
        <v>166</v>
      </c>
      <c r="P120" t="s">
        <v>161</v>
      </c>
      <c r="Q120" t="b">
        <v>0</v>
      </c>
      <c r="R120">
        <v>0.73730600000000002</v>
      </c>
      <c r="S120">
        <v>4.3369999999999997</v>
      </c>
      <c r="T120">
        <v>2.4129999999999998</v>
      </c>
      <c r="U120">
        <v>0</v>
      </c>
      <c r="V120">
        <v>12</v>
      </c>
      <c r="W120">
        <v>12</v>
      </c>
      <c r="X120">
        <v>0.53515900000000005</v>
      </c>
      <c r="Y120" t="b">
        <v>0</v>
      </c>
      <c r="Z120" t="b">
        <v>0</v>
      </c>
      <c r="AA120" t="b">
        <v>0</v>
      </c>
      <c r="AB120" t="b">
        <v>0</v>
      </c>
      <c r="AC120" t="s">
        <v>167</v>
      </c>
      <c r="AD120" s="1" t="s">
        <v>254</v>
      </c>
      <c r="AE120" s="1" t="s">
        <v>254</v>
      </c>
      <c r="AF120" t="s">
        <v>117</v>
      </c>
      <c r="AG120" t="s">
        <v>161</v>
      </c>
    </row>
    <row r="121" spans="1:33" x14ac:dyDescent="0.25">
      <c r="A121">
        <v>2</v>
      </c>
      <c r="B121">
        <v>2</v>
      </c>
      <c r="C121" t="s">
        <v>112</v>
      </c>
      <c r="D121" t="s">
        <v>113</v>
      </c>
      <c r="E121" t="s">
        <v>80</v>
      </c>
      <c r="F121" t="e" cm="1">
        <f t="array" ref="F121">+ Temporal recency</f>
        <v>#NAME?</v>
      </c>
      <c r="G121" t="s">
        <v>231</v>
      </c>
      <c r="H121">
        <v>0.5</v>
      </c>
      <c r="I121">
        <v>0.3</v>
      </c>
      <c r="J121">
        <v>0.2</v>
      </c>
      <c r="K121">
        <v>10</v>
      </c>
      <c r="L121" t="s">
        <v>169</v>
      </c>
      <c r="M121" t="s">
        <v>170</v>
      </c>
      <c r="N121" t="s">
        <v>117</v>
      </c>
      <c r="O121" t="s">
        <v>171</v>
      </c>
      <c r="P121" t="s">
        <v>161</v>
      </c>
      <c r="Q121" t="b">
        <v>0</v>
      </c>
      <c r="R121">
        <v>0.74351699999999998</v>
      </c>
      <c r="S121">
        <v>4.3289999999999997</v>
      </c>
      <c r="T121">
        <v>2.528</v>
      </c>
      <c r="U121">
        <v>0</v>
      </c>
      <c r="V121">
        <v>23</v>
      </c>
      <c r="W121">
        <v>20</v>
      </c>
      <c r="X121">
        <v>0.55290499999999998</v>
      </c>
      <c r="Y121" t="b">
        <v>0</v>
      </c>
      <c r="Z121" t="b">
        <v>0</v>
      </c>
      <c r="AA121" t="b">
        <v>0</v>
      </c>
      <c r="AB121" t="b">
        <v>0</v>
      </c>
      <c r="AC121" t="s">
        <v>244</v>
      </c>
      <c r="AD121" s="1" t="s">
        <v>245</v>
      </c>
      <c r="AE121" s="1" t="s">
        <v>245</v>
      </c>
      <c r="AF121" t="s">
        <v>117</v>
      </c>
      <c r="AG121" t="s">
        <v>161</v>
      </c>
    </row>
    <row r="122" spans="1:33" x14ac:dyDescent="0.25">
      <c r="A122">
        <v>3</v>
      </c>
      <c r="B122">
        <v>2</v>
      </c>
      <c r="C122" t="s">
        <v>112</v>
      </c>
      <c r="D122" t="s">
        <v>113</v>
      </c>
      <c r="E122" t="s">
        <v>80</v>
      </c>
      <c r="F122" t="e" cm="1">
        <f t="array" ref="F122">+ Temporal recency</f>
        <v>#NAME?</v>
      </c>
      <c r="G122" t="s">
        <v>231</v>
      </c>
      <c r="H122">
        <v>0.5</v>
      </c>
      <c r="I122">
        <v>0.3</v>
      </c>
      <c r="J122">
        <v>0.2</v>
      </c>
      <c r="K122">
        <v>1</v>
      </c>
      <c r="L122" t="s">
        <v>115</v>
      </c>
      <c r="M122" t="s">
        <v>116</v>
      </c>
      <c r="N122" t="s">
        <v>117</v>
      </c>
      <c r="O122" t="s">
        <v>118</v>
      </c>
      <c r="P122" t="s">
        <v>117</v>
      </c>
      <c r="Q122" t="b">
        <v>1</v>
      </c>
      <c r="R122">
        <v>0.75744699999999998</v>
      </c>
      <c r="S122">
        <v>7.2549999999999999</v>
      </c>
      <c r="T122">
        <v>4.633</v>
      </c>
      <c r="U122">
        <v>0</v>
      </c>
      <c r="V122">
        <v>27</v>
      </c>
      <c r="W122">
        <v>20</v>
      </c>
      <c r="X122">
        <v>0.59270599999999996</v>
      </c>
      <c r="Y122" t="b">
        <v>0</v>
      </c>
      <c r="Z122" t="b">
        <v>0</v>
      </c>
      <c r="AA122" t="b">
        <v>0</v>
      </c>
      <c r="AB122" t="b">
        <v>0</v>
      </c>
      <c r="AC122" t="s">
        <v>232</v>
      </c>
      <c r="AD122" s="1" t="s">
        <v>255</v>
      </c>
      <c r="AE122" s="1" t="s">
        <v>255</v>
      </c>
      <c r="AF122" t="s">
        <v>117</v>
      </c>
      <c r="AG122" t="s">
        <v>117</v>
      </c>
    </row>
    <row r="123" spans="1:33" x14ac:dyDescent="0.25">
      <c r="A123">
        <v>3</v>
      </c>
      <c r="B123">
        <v>2</v>
      </c>
      <c r="C123" t="s">
        <v>112</v>
      </c>
      <c r="D123" t="s">
        <v>113</v>
      </c>
      <c r="E123" t="s">
        <v>80</v>
      </c>
      <c r="F123" t="e" cm="1">
        <f t="array" ref="F123">+ Temporal recency</f>
        <v>#NAME?</v>
      </c>
      <c r="G123" t="s">
        <v>231</v>
      </c>
      <c r="H123">
        <v>0.5</v>
      </c>
      <c r="I123">
        <v>0.3</v>
      </c>
      <c r="J123">
        <v>0.2</v>
      </c>
      <c r="K123">
        <v>2</v>
      </c>
      <c r="L123" t="s">
        <v>121</v>
      </c>
      <c r="M123" t="s">
        <v>122</v>
      </c>
      <c r="N123" t="s">
        <v>123</v>
      </c>
      <c r="O123" t="s">
        <v>124</v>
      </c>
      <c r="P123" t="s">
        <v>125</v>
      </c>
      <c r="Q123" t="b">
        <v>0</v>
      </c>
      <c r="R123">
        <v>0.73483500000000002</v>
      </c>
      <c r="S123">
        <v>4.2809999999999997</v>
      </c>
      <c r="T123">
        <v>2.4260000000000002</v>
      </c>
      <c r="U123">
        <v>0</v>
      </c>
      <c r="V123">
        <v>16</v>
      </c>
      <c r="W123">
        <v>16</v>
      </c>
      <c r="X123">
        <v>0.52809899999999999</v>
      </c>
      <c r="Y123" t="b">
        <v>0</v>
      </c>
      <c r="Z123" t="b">
        <v>0</v>
      </c>
      <c r="AA123" t="b">
        <v>0</v>
      </c>
      <c r="AB123" t="b">
        <v>0</v>
      </c>
      <c r="AC123" t="s">
        <v>126</v>
      </c>
      <c r="AD123" s="1" t="s">
        <v>256</v>
      </c>
      <c r="AE123" s="1" t="s">
        <v>256</v>
      </c>
      <c r="AF123" t="s">
        <v>123</v>
      </c>
      <c r="AG123" t="s">
        <v>125</v>
      </c>
    </row>
    <row r="124" spans="1:33" x14ac:dyDescent="0.25">
      <c r="A124">
        <v>3</v>
      </c>
      <c r="B124">
        <v>2</v>
      </c>
      <c r="C124" t="s">
        <v>112</v>
      </c>
      <c r="D124" t="s">
        <v>113</v>
      </c>
      <c r="E124" t="s">
        <v>80</v>
      </c>
      <c r="F124" t="e" cm="1">
        <f t="array" ref="F124">+ Temporal recency</f>
        <v>#NAME?</v>
      </c>
      <c r="G124" t="s">
        <v>231</v>
      </c>
      <c r="H124">
        <v>0.5</v>
      </c>
      <c r="I124">
        <v>0.3</v>
      </c>
      <c r="J124">
        <v>0.2</v>
      </c>
      <c r="K124">
        <v>3</v>
      </c>
      <c r="L124" t="s">
        <v>128</v>
      </c>
      <c r="M124" t="s">
        <v>129</v>
      </c>
      <c r="N124" t="s">
        <v>117</v>
      </c>
      <c r="O124" t="s">
        <v>130</v>
      </c>
      <c r="P124" t="s">
        <v>131</v>
      </c>
      <c r="Q124" t="b">
        <v>0</v>
      </c>
      <c r="R124">
        <v>0.73705200000000004</v>
      </c>
      <c r="S124">
        <v>3.09</v>
      </c>
      <c r="T124">
        <v>2.33</v>
      </c>
      <c r="U124">
        <v>0</v>
      </c>
      <c r="V124">
        <v>17</v>
      </c>
      <c r="W124">
        <v>17</v>
      </c>
      <c r="X124">
        <v>0.53443499999999999</v>
      </c>
      <c r="Y124" t="b">
        <v>0</v>
      </c>
      <c r="Z124" t="b">
        <v>0</v>
      </c>
      <c r="AA124" t="b">
        <v>0</v>
      </c>
      <c r="AB124" t="b">
        <v>0</v>
      </c>
      <c r="AC124" t="s">
        <v>132</v>
      </c>
      <c r="AD124" s="1" t="s">
        <v>257</v>
      </c>
      <c r="AE124" s="1" t="s">
        <v>257</v>
      </c>
      <c r="AF124" t="s">
        <v>117</v>
      </c>
      <c r="AG124" t="s">
        <v>131</v>
      </c>
    </row>
    <row r="125" spans="1:33" x14ac:dyDescent="0.25">
      <c r="A125">
        <v>3</v>
      </c>
      <c r="B125">
        <v>2</v>
      </c>
      <c r="C125" t="s">
        <v>112</v>
      </c>
      <c r="D125" t="s">
        <v>113</v>
      </c>
      <c r="E125" t="s">
        <v>80</v>
      </c>
      <c r="F125" t="e" cm="1">
        <f t="array" ref="F125">+ Temporal recency</f>
        <v>#NAME?</v>
      </c>
      <c r="G125" t="s">
        <v>231</v>
      </c>
      <c r="H125">
        <v>0.5</v>
      </c>
      <c r="I125">
        <v>0.3</v>
      </c>
      <c r="J125">
        <v>0.2</v>
      </c>
      <c r="K125">
        <v>4</v>
      </c>
      <c r="L125" t="s">
        <v>134</v>
      </c>
      <c r="M125" t="s">
        <v>135</v>
      </c>
      <c r="N125" t="s">
        <v>117</v>
      </c>
      <c r="O125" t="s">
        <v>136</v>
      </c>
      <c r="P125" t="s">
        <v>125</v>
      </c>
      <c r="Q125" t="b">
        <v>0</v>
      </c>
      <c r="R125">
        <v>0.74739699999999998</v>
      </c>
      <c r="S125">
        <v>6.1669999999999998</v>
      </c>
      <c r="T125">
        <v>2.36</v>
      </c>
      <c r="U125">
        <v>0</v>
      </c>
      <c r="V125">
        <v>22</v>
      </c>
      <c r="W125">
        <v>20</v>
      </c>
      <c r="X125">
        <v>0.56399100000000002</v>
      </c>
      <c r="Y125" t="b">
        <v>0</v>
      </c>
      <c r="Z125" t="b">
        <v>0</v>
      </c>
      <c r="AA125" t="b">
        <v>0</v>
      </c>
      <c r="AB125" t="b">
        <v>0</v>
      </c>
      <c r="AC125" t="s">
        <v>235</v>
      </c>
      <c r="AD125" s="1" t="s">
        <v>258</v>
      </c>
      <c r="AE125" s="1" t="s">
        <v>258</v>
      </c>
      <c r="AF125" t="s">
        <v>117</v>
      </c>
      <c r="AG125" t="s">
        <v>125</v>
      </c>
    </row>
    <row r="126" spans="1:33" x14ac:dyDescent="0.25">
      <c r="A126">
        <v>3</v>
      </c>
      <c r="B126">
        <v>2</v>
      </c>
      <c r="C126" t="s">
        <v>112</v>
      </c>
      <c r="D126" t="s">
        <v>113</v>
      </c>
      <c r="E126" t="s">
        <v>80</v>
      </c>
      <c r="F126" t="e" cm="1">
        <f t="array" ref="F126">+ Temporal recency</f>
        <v>#NAME?</v>
      </c>
      <c r="G126" t="s">
        <v>231</v>
      </c>
      <c r="H126">
        <v>0.5</v>
      </c>
      <c r="I126">
        <v>0.3</v>
      </c>
      <c r="J126">
        <v>0.2</v>
      </c>
      <c r="K126">
        <v>5</v>
      </c>
      <c r="L126" t="s">
        <v>139</v>
      </c>
      <c r="M126" t="s">
        <v>140</v>
      </c>
      <c r="N126" t="s">
        <v>141</v>
      </c>
      <c r="O126" t="s">
        <v>142</v>
      </c>
      <c r="P126" t="s">
        <v>143</v>
      </c>
      <c r="Q126" t="b">
        <v>0</v>
      </c>
      <c r="R126">
        <v>0.74609599999999998</v>
      </c>
      <c r="S126">
        <v>4.7869999999999999</v>
      </c>
      <c r="T126">
        <v>2.7029999999999998</v>
      </c>
      <c r="U126">
        <v>0</v>
      </c>
      <c r="V126">
        <v>19</v>
      </c>
      <c r="W126">
        <v>19</v>
      </c>
      <c r="X126">
        <v>0.56027499999999997</v>
      </c>
      <c r="Y126" t="b">
        <v>0</v>
      </c>
      <c r="Z126" t="b">
        <v>0</v>
      </c>
      <c r="AA126" t="b">
        <v>0</v>
      </c>
      <c r="AB126" t="b">
        <v>0</v>
      </c>
      <c r="AC126" t="s">
        <v>144</v>
      </c>
      <c r="AD126" s="1" t="s">
        <v>250</v>
      </c>
      <c r="AE126" s="1" t="s">
        <v>250</v>
      </c>
      <c r="AF126" t="s">
        <v>141</v>
      </c>
      <c r="AG126" t="s">
        <v>143</v>
      </c>
    </row>
    <row r="127" spans="1:33" x14ac:dyDescent="0.25">
      <c r="A127">
        <v>3</v>
      </c>
      <c r="B127">
        <v>2</v>
      </c>
      <c r="C127" t="s">
        <v>112</v>
      </c>
      <c r="D127" t="s">
        <v>113</v>
      </c>
      <c r="E127" t="s">
        <v>80</v>
      </c>
      <c r="F127" t="e" cm="1">
        <f t="array" ref="F127">+ Temporal recency</f>
        <v>#NAME?</v>
      </c>
      <c r="G127" t="s">
        <v>231</v>
      </c>
      <c r="H127">
        <v>0.5</v>
      </c>
      <c r="I127">
        <v>0.3</v>
      </c>
      <c r="J127">
        <v>0.2</v>
      </c>
      <c r="K127">
        <v>6</v>
      </c>
      <c r="L127" t="s">
        <v>146</v>
      </c>
      <c r="M127" t="s">
        <v>147</v>
      </c>
      <c r="N127" t="s">
        <v>141</v>
      </c>
      <c r="O127" t="s">
        <v>148</v>
      </c>
      <c r="P127" t="s">
        <v>123</v>
      </c>
      <c r="Q127" t="b">
        <v>0</v>
      </c>
      <c r="R127">
        <v>0.75448400000000004</v>
      </c>
      <c r="S127">
        <v>5.2809999999999997</v>
      </c>
      <c r="T127">
        <v>2.1909999999999998</v>
      </c>
      <c r="U127">
        <v>0</v>
      </c>
      <c r="V127">
        <v>27</v>
      </c>
      <c r="W127">
        <v>20</v>
      </c>
      <c r="X127">
        <v>0.58424100000000001</v>
      </c>
      <c r="Y127" t="b">
        <v>0</v>
      </c>
      <c r="Z127" t="b">
        <v>0</v>
      </c>
      <c r="AA127" t="b">
        <v>0</v>
      </c>
      <c r="AB127" t="b">
        <v>0</v>
      </c>
      <c r="AC127" t="s">
        <v>238</v>
      </c>
      <c r="AD127" s="1" t="s">
        <v>259</v>
      </c>
      <c r="AE127" s="1" t="s">
        <v>259</v>
      </c>
      <c r="AF127" t="s">
        <v>141</v>
      </c>
      <c r="AG127" t="s">
        <v>123</v>
      </c>
    </row>
    <row r="128" spans="1:33" x14ac:dyDescent="0.25">
      <c r="A128">
        <v>3</v>
      </c>
      <c r="B128">
        <v>2</v>
      </c>
      <c r="C128" t="s">
        <v>112</v>
      </c>
      <c r="D128" t="s">
        <v>113</v>
      </c>
      <c r="E128" t="s">
        <v>80</v>
      </c>
      <c r="F128" t="e" cm="1">
        <f t="array" ref="F128">+ Temporal recency</f>
        <v>#NAME?</v>
      </c>
      <c r="G128" t="s">
        <v>231</v>
      </c>
      <c r="H128">
        <v>0.5</v>
      </c>
      <c r="I128">
        <v>0.3</v>
      </c>
      <c r="J128">
        <v>0.2</v>
      </c>
      <c r="K128">
        <v>7</v>
      </c>
      <c r="L128" t="s">
        <v>151</v>
      </c>
      <c r="M128" t="s">
        <v>152</v>
      </c>
      <c r="N128" t="s">
        <v>117</v>
      </c>
      <c r="O128" t="s">
        <v>153</v>
      </c>
      <c r="P128" t="s">
        <v>125</v>
      </c>
      <c r="Q128" t="b">
        <v>0</v>
      </c>
      <c r="R128">
        <v>0.75763599999999998</v>
      </c>
      <c r="S128">
        <v>5.28</v>
      </c>
      <c r="T128">
        <v>2.3450000000000002</v>
      </c>
      <c r="U128">
        <v>0</v>
      </c>
      <c r="V128">
        <v>30</v>
      </c>
      <c r="W128">
        <v>20</v>
      </c>
      <c r="X128">
        <v>0.59324699999999997</v>
      </c>
      <c r="Y128" t="b">
        <v>0</v>
      </c>
      <c r="Z128" t="b">
        <v>0</v>
      </c>
      <c r="AA128" t="b">
        <v>0</v>
      </c>
      <c r="AB128" t="b">
        <v>0</v>
      </c>
      <c r="AC128" t="s">
        <v>240</v>
      </c>
      <c r="AD128" s="1" t="s">
        <v>260</v>
      </c>
      <c r="AE128" s="1" t="s">
        <v>260</v>
      </c>
      <c r="AF128" t="s">
        <v>117</v>
      </c>
      <c r="AG128" t="s">
        <v>125</v>
      </c>
    </row>
    <row r="129" spans="1:33" x14ac:dyDescent="0.25">
      <c r="A129">
        <v>3</v>
      </c>
      <c r="B129">
        <v>2</v>
      </c>
      <c r="C129" t="s">
        <v>112</v>
      </c>
      <c r="D129" t="s">
        <v>113</v>
      </c>
      <c r="E129" t="s">
        <v>80</v>
      </c>
      <c r="F129" t="e" cm="1">
        <f t="array" ref="F129">+ Temporal recency</f>
        <v>#NAME?</v>
      </c>
      <c r="G129" t="s">
        <v>231</v>
      </c>
      <c r="H129">
        <v>0.5</v>
      </c>
      <c r="I129">
        <v>0.3</v>
      </c>
      <c r="J129">
        <v>0.2</v>
      </c>
      <c r="K129">
        <v>8</v>
      </c>
      <c r="L129" t="s">
        <v>157</v>
      </c>
      <c r="M129" t="s">
        <v>158</v>
      </c>
      <c r="N129" t="s">
        <v>159</v>
      </c>
      <c r="O129" t="s">
        <v>160</v>
      </c>
      <c r="P129" t="s">
        <v>161</v>
      </c>
      <c r="Q129" t="b">
        <v>0</v>
      </c>
      <c r="R129">
        <v>0.75232600000000005</v>
      </c>
      <c r="S129">
        <v>5.4480000000000004</v>
      </c>
      <c r="T129">
        <v>2.778</v>
      </c>
      <c r="U129">
        <v>0</v>
      </c>
      <c r="V129">
        <v>10</v>
      </c>
      <c r="W129">
        <v>10</v>
      </c>
      <c r="X129">
        <v>0.57807399999999998</v>
      </c>
      <c r="Y129" t="b">
        <v>0</v>
      </c>
      <c r="Z129" t="b">
        <v>0</v>
      </c>
      <c r="AA129" t="b">
        <v>0</v>
      </c>
      <c r="AB129" t="b">
        <v>0</v>
      </c>
      <c r="AC129" t="s">
        <v>162</v>
      </c>
      <c r="AD129" s="1" t="s">
        <v>226</v>
      </c>
      <c r="AE129" s="1" t="s">
        <v>226</v>
      </c>
      <c r="AF129" t="s">
        <v>159</v>
      </c>
      <c r="AG129" t="s">
        <v>161</v>
      </c>
    </row>
    <row r="130" spans="1:33" x14ac:dyDescent="0.25">
      <c r="A130">
        <v>3</v>
      </c>
      <c r="B130">
        <v>2</v>
      </c>
      <c r="C130" t="s">
        <v>112</v>
      </c>
      <c r="D130" t="s">
        <v>113</v>
      </c>
      <c r="E130" t="s">
        <v>80</v>
      </c>
      <c r="F130" t="e" cm="1">
        <f t="array" ref="F130">+ Temporal recency</f>
        <v>#NAME?</v>
      </c>
      <c r="G130" t="s">
        <v>231</v>
      </c>
      <c r="H130">
        <v>0.5</v>
      </c>
      <c r="I130">
        <v>0.3</v>
      </c>
      <c r="J130">
        <v>0.2</v>
      </c>
      <c r="K130">
        <v>9</v>
      </c>
      <c r="L130" t="s">
        <v>164</v>
      </c>
      <c r="M130" t="s">
        <v>165</v>
      </c>
      <c r="N130" t="s">
        <v>117</v>
      </c>
      <c r="O130" t="s">
        <v>166</v>
      </c>
      <c r="P130" t="s">
        <v>161</v>
      </c>
      <c r="Q130" t="b">
        <v>0</v>
      </c>
      <c r="R130">
        <v>0.73730600000000002</v>
      </c>
      <c r="S130">
        <v>4.8150000000000004</v>
      </c>
      <c r="T130">
        <v>2.669</v>
      </c>
      <c r="U130">
        <v>0</v>
      </c>
      <c r="V130">
        <v>12</v>
      </c>
      <c r="W130">
        <v>12</v>
      </c>
      <c r="X130">
        <v>0.53515900000000005</v>
      </c>
      <c r="Y130" t="b">
        <v>0</v>
      </c>
      <c r="Z130" t="b">
        <v>0</v>
      </c>
      <c r="AA130" t="b">
        <v>0</v>
      </c>
      <c r="AB130" t="b">
        <v>0</v>
      </c>
      <c r="AC130" t="s">
        <v>167</v>
      </c>
      <c r="AD130" s="1" t="s">
        <v>243</v>
      </c>
      <c r="AE130" s="1" t="s">
        <v>243</v>
      </c>
      <c r="AF130" t="s">
        <v>117</v>
      </c>
      <c r="AG130" t="s">
        <v>161</v>
      </c>
    </row>
    <row r="131" spans="1:33" x14ac:dyDescent="0.25">
      <c r="A131">
        <v>3</v>
      </c>
      <c r="B131">
        <v>2</v>
      </c>
      <c r="C131" t="s">
        <v>112</v>
      </c>
      <c r="D131" t="s">
        <v>113</v>
      </c>
      <c r="E131" t="s">
        <v>80</v>
      </c>
      <c r="F131" t="e" cm="1">
        <f t="array" ref="F131">+ Temporal recency</f>
        <v>#NAME?</v>
      </c>
      <c r="G131" t="s">
        <v>231</v>
      </c>
      <c r="H131">
        <v>0.5</v>
      </c>
      <c r="I131">
        <v>0.3</v>
      </c>
      <c r="J131">
        <v>0.2</v>
      </c>
      <c r="K131">
        <v>10</v>
      </c>
      <c r="L131" t="s">
        <v>169</v>
      </c>
      <c r="M131" t="s">
        <v>170</v>
      </c>
      <c r="N131" t="s">
        <v>117</v>
      </c>
      <c r="O131" t="s">
        <v>171</v>
      </c>
      <c r="P131" t="s">
        <v>161</v>
      </c>
      <c r="Q131" t="b">
        <v>0</v>
      </c>
      <c r="R131">
        <v>0.74351500000000004</v>
      </c>
      <c r="S131">
        <v>8.9870000000000001</v>
      </c>
      <c r="T131">
        <v>6.8869999999999996</v>
      </c>
      <c r="U131">
        <v>0</v>
      </c>
      <c r="V131">
        <v>23</v>
      </c>
      <c r="W131">
        <v>20</v>
      </c>
      <c r="X131">
        <v>0.55289999999999995</v>
      </c>
      <c r="Y131" t="b">
        <v>0</v>
      </c>
      <c r="Z131" t="b">
        <v>0</v>
      </c>
      <c r="AA131" t="b">
        <v>0</v>
      </c>
      <c r="AB131" t="b">
        <v>0</v>
      </c>
      <c r="AC131" t="s">
        <v>244</v>
      </c>
      <c r="AD131" s="1" t="s">
        <v>245</v>
      </c>
      <c r="AE131" s="1" t="s">
        <v>245</v>
      </c>
      <c r="AF131" t="s">
        <v>117</v>
      </c>
      <c r="AG131" t="s">
        <v>161</v>
      </c>
    </row>
    <row r="132" spans="1:33" x14ac:dyDescent="0.25">
      <c r="A132">
        <v>4</v>
      </c>
      <c r="B132">
        <v>2</v>
      </c>
      <c r="C132" t="s">
        <v>112</v>
      </c>
      <c r="D132" t="s">
        <v>113</v>
      </c>
      <c r="E132" t="s">
        <v>80</v>
      </c>
      <c r="F132" t="e" cm="1">
        <f t="array" ref="F132">+ Temporal recency</f>
        <v>#NAME?</v>
      </c>
      <c r="G132" t="s">
        <v>231</v>
      </c>
      <c r="H132">
        <v>0.5</v>
      </c>
      <c r="I132">
        <v>0.3</v>
      </c>
      <c r="J132">
        <v>0.2</v>
      </c>
      <c r="K132">
        <v>1</v>
      </c>
      <c r="L132" t="s">
        <v>115</v>
      </c>
      <c r="M132" t="s">
        <v>116</v>
      </c>
      <c r="N132" t="s">
        <v>117</v>
      </c>
      <c r="O132" t="s">
        <v>118</v>
      </c>
      <c r="P132" t="s">
        <v>117</v>
      </c>
      <c r="Q132" t="b">
        <v>1</v>
      </c>
      <c r="R132">
        <v>0.75744699999999998</v>
      </c>
      <c r="S132">
        <v>5.6660000000000004</v>
      </c>
      <c r="T132">
        <v>3.0910000000000002</v>
      </c>
      <c r="U132">
        <v>0</v>
      </c>
      <c r="V132">
        <v>27</v>
      </c>
      <c r="W132">
        <v>20</v>
      </c>
      <c r="X132">
        <v>0.59270599999999996</v>
      </c>
      <c r="Y132" t="b">
        <v>0</v>
      </c>
      <c r="Z132" t="b">
        <v>0</v>
      </c>
      <c r="AA132" t="b">
        <v>0</v>
      </c>
      <c r="AB132" t="b">
        <v>0</v>
      </c>
      <c r="AC132" t="s">
        <v>232</v>
      </c>
      <c r="AD132" s="1" t="s">
        <v>261</v>
      </c>
      <c r="AE132" s="1" t="s">
        <v>261</v>
      </c>
      <c r="AF132" t="s">
        <v>117</v>
      </c>
      <c r="AG132" t="s">
        <v>117</v>
      </c>
    </row>
    <row r="133" spans="1:33" x14ac:dyDescent="0.25">
      <c r="A133">
        <v>4</v>
      </c>
      <c r="B133">
        <v>2</v>
      </c>
      <c r="C133" t="s">
        <v>112</v>
      </c>
      <c r="D133" t="s">
        <v>113</v>
      </c>
      <c r="E133" t="s">
        <v>80</v>
      </c>
      <c r="F133" t="e" cm="1">
        <f t="array" ref="F133">+ Temporal recency</f>
        <v>#NAME?</v>
      </c>
      <c r="G133" t="s">
        <v>231</v>
      </c>
      <c r="H133">
        <v>0.5</v>
      </c>
      <c r="I133">
        <v>0.3</v>
      </c>
      <c r="J133">
        <v>0.2</v>
      </c>
      <c r="K133">
        <v>2</v>
      </c>
      <c r="L133" t="s">
        <v>121</v>
      </c>
      <c r="M133" t="s">
        <v>122</v>
      </c>
      <c r="N133" t="s">
        <v>123</v>
      </c>
      <c r="O133" t="s">
        <v>124</v>
      </c>
      <c r="P133" t="s">
        <v>125</v>
      </c>
      <c r="Q133" t="b">
        <v>0</v>
      </c>
      <c r="R133">
        <v>0.73483500000000002</v>
      </c>
      <c r="S133">
        <v>4.7960000000000003</v>
      </c>
      <c r="T133">
        <v>2.9239999999999999</v>
      </c>
      <c r="U133">
        <v>0</v>
      </c>
      <c r="V133">
        <v>16</v>
      </c>
      <c r="W133">
        <v>16</v>
      </c>
      <c r="X133">
        <v>0.52809899999999999</v>
      </c>
      <c r="Y133" t="b">
        <v>0</v>
      </c>
      <c r="Z133" t="b">
        <v>0</v>
      </c>
      <c r="AA133" t="b">
        <v>0</v>
      </c>
      <c r="AB133" t="b">
        <v>0</v>
      </c>
      <c r="AC133" t="s">
        <v>126</v>
      </c>
      <c r="AD133" s="1" t="s">
        <v>256</v>
      </c>
      <c r="AE133" s="1" t="s">
        <v>256</v>
      </c>
      <c r="AF133" t="s">
        <v>123</v>
      </c>
      <c r="AG133" t="s">
        <v>125</v>
      </c>
    </row>
    <row r="134" spans="1:33" x14ac:dyDescent="0.25">
      <c r="A134">
        <v>4</v>
      </c>
      <c r="B134">
        <v>2</v>
      </c>
      <c r="C134" t="s">
        <v>112</v>
      </c>
      <c r="D134" t="s">
        <v>113</v>
      </c>
      <c r="E134" t="s">
        <v>80</v>
      </c>
      <c r="F134" t="e" cm="1">
        <f t="array" ref="F134">+ Temporal recency</f>
        <v>#NAME?</v>
      </c>
      <c r="G134" t="s">
        <v>231</v>
      </c>
      <c r="H134">
        <v>0.5</v>
      </c>
      <c r="I134">
        <v>0.3</v>
      </c>
      <c r="J134">
        <v>0.2</v>
      </c>
      <c r="K134">
        <v>3</v>
      </c>
      <c r="L134" t="s">
        <v>128</v>
      </c>
      <c r="M134" t="s">
        <v>129</v>
      </c>
      <c r="N134" t="s">
        <v>117</v>
      </c>
      <c r="O134" t="s">
        <v>130</v>
      </c>
      <c r="P134" t="s">
        <v>131</v>
      </c>
      <c r="Q134" t="b">
        <v>0</v>
      </c>
      <c r="R134">
        <v>0.73705100000000001</v>
      </c>
      <c r="S134">
        <v>4.282</v>
      </c>
      <c r="T134">
        <v>2.7069999999999999</v>
      </c>
      <c r="U134">
        <v>0</v>
      </c>
      <c r="V134">
        <v>17</v>
      </c>
      <c r="W134">
        <v>17</v>
      </c>
      <c r="X134">
        <v>0.53443099999999999</v>
      </c>
      <c r="Y134" t="b">
        <v>0</v>
      </c>
      <c r="Z134" t="b">
        <v>0</v>
      </c>
      <c r="AA134" t="b">
        <v>0</v>
      </c>
      <c r="AB134" t="b">
        <v>0</v>
      </c>
      <c r="AC134" t="s">
        <v>132</v>
      </c>
      <c r="AD134" s="1" t="s">
        <v>262</v>
      </c>
      <c r="AE134" s="1" t="s">
        <v>262</v>
      </c>
      <c r="AF134" t="s">
        <v>117</v>
      </c>
      <c r="AG134" t="s">
        <v>131</v>
      </c>
    </row>
    <row r="135" spans="1:33" x14ac:dyDescent="0.25">
      <c r="A135">
        <v>4</v>
      </c>
      <c r="B135">
        <v>2</v>
      </c>
      <c r="C135" t="s">
        <v>112</v>
      </c>
      <c r="D135" t="s">
        <v>113</v>
      </c>
      <c r="E135" t="s">
        <v>80</v>
      </c>
      <c r="F135" t="e" cm="1">
        <f t="array" ref="F135">+ Temporal recency</f>
        <v>#NAME?</v>
      </c>
      <c r="G135" t="s">
        <v>231</v>
      </c>
      <c r="H135">
        <v>0.5</v>
      </c>
      <c r="I135">
        <v>0.3</v>
      </c>
      <c r="J135">
        <v>0.2</v>
      </c>
      <c r="K135">
        <v>4</v>
      </c>
      <c r="L135" t="s">
        <v>134</v>
      </c>
      <c r="M135" t="s">
        <v>135</v>
      </c>
      <c r="N135" t="s">
        <v>117</v>
      </c>
      <c r="O135" t="s">
        <v>136</v>
      </c>
      <c r="P135" t="s">
        <v>125</v>
      </c>
      <c r="Q135" t="b">
        <v>0</v>
      </c>
      <c r="R135">
        <v>0.74739699999999998</v>
      </c>
      <c r="S135">
        <v>5.8460000000000001</v>
      </c>
      <c r="T135">
        <v>2.181</v>
      </c>
      <c r="U135">
        <v>0</v>
      </c>
      <c r="V135">
        <v>22</v>
      </c>
      <c r="W135">
        <v>20</v>
      </c>
      <c r="X135">
        <v>0.56399100000000002</v>
      </c>
      <c r="Y135" t="b">
        <v>0</v>
      </c>
      <c r="Z135" t="b">
        <v>0</v>
      </c>
      <c r="AA135" t="b">
        <v>0</v>
      </c>
      <c r="AB135" t="b">
        <v>0</v>
      </c>
      <c r="AC135" t="s">
        <v>235</v>
      </c>
      <c r="AD135" s="1" t="s">
        <v>263</v>
      </c>
      <c r="AE135" s="1" t="s">
        <v>263</v>
      </c>
      <c r="AF135" t="s">
        <v>117</v>
      </c>
      <c r="AG135" t="s">
        <v>125</v>
      </c>
    </row>
    <row r="136" spans="1:33" x14ac:dyDescent="0.25">
      <c r="A136">
        <v>4</v>
      </c>
      <c r="B136">
        <v>2</v>
      </c>
      <c r="C136" t="s">
        <v>112</v>
      </c>
      <c r="D136" t="s">
        <v>113</v>
      </c>
      <c r="E136" t="s">
        <v>80</v>
      </c>
      <c r="F136" t="e" cm="1">
        <f t="array" ref="F136">+ Temporal recency</f>
        <v>#NAME?</v>
      </c>
      <c r="G136" t="s">
        <v>231</v>
      </c>
      <c r="H136">
        <v>0.5</v>
      </c>
      <c r="I136">
        <v>0.3</v>
      </c>
      <c r="J136">
        <v>0.2</v>
      </c>
      <c r="K136">
        <v>5</v>
      </c>
      <c r="L136" t="s">
        <v>139</v>
      </c>
      <c r="M136" t="s">
        <v>140</v>
      </c>
      <c r="N136" t="s">
        <v>141</v>
      </c>
      <c r="O136" t="s">
        <v>142</v>
      </c>
      <c r="P136" t="s">
        <v>143</v>
      </c>
      <c r="Q136" t="b">
        <v>0</v>
      </c>
      <c r="R136">
        <v>0.74609599999999998</v>
      </c>
      <c r="S136">
        <v>3.6560000000000001</v>
      </c>
      <c r="T136">
        <v>1.8939999999999999</v>
      </c>
      <c r="U136">
        <v>0</v>
      </c>
      <c r="V136">
        <v>19</v>
      </c>
      <c r="W136">
        <v>19</v>
      </c>
      <c r="X136">
        <v>0.56027499999999997</v>
      </c>
      <c r="Y136" t="b">
        <v>0</v>
      </c>
      <c r="Z136" t="b">
        <v>0</v>
      </c>
      <c r="AA136" t="b">
        <v>0</v>
      </c>
      <c r="AB136" t="b">
        <v>0</v>
      </c>
      <c r="AC136" t="s">
        <v>144</v>
      </c>
      <c r="AD136" s="1" t="s">
        <v>250</v>
      </c>
      <c r="AE136" s="1" t="s">
        <v>250</v>
      </c>
      <c r="AF136" t="s">
        <v>141</v>
      </c>
      <c r="AG136" t="s">
        <v>143</v>
      </c>
    </row>
    <row r="137" spans="1:33" x14ac:dyDescent="0.25">
      <c r="A137">
        <v>4</v>
      </c>
      <c r="B137">
        <v>2</v>
      </c>
      <c r="C137" t="s">
        <v>112</v>
      </c>
      <c r="D137" t="s">
        <v>113</v>
      </c>
      <c r="E137" t="s">
        <v>80</v>
      </c>
      <c r="F137" t="e" cm="1">
        <f t="array" ref="F137">+ Temporal recency</f>
        <v>#NAME?</v>
      </c>
      <c r="G137" t="s">
        <v>231</v>
      </c>
      <c r="H137">
        <v>0.5</v>
      </c>
      <c r="I137">
        <v>0.3</v>
      </c>
      <c r="J137">
        <v>0.2</v>
      </c>
      <c r="K137">
        <v>6</v>
      </c>
      <c r="L137" t="s">
        <v>146</v>
      </c>
      <c r="M137" t="s">
        <v>147</v>
      </c>
      <c r="N137" t="s">
        <v>141</v>
      </c>
      <c r="O137" t="s">
        <v>148</v>
      </c>
      <c r="P137" t="s">
        <v>123</v>
      </c>
      <c r="Q137" t="b">
        <v>0</v>
      </c>
      <c r="R137">
        <v>0.75449299999999997</v>
      </c>
      <c r="S137">
        <v>5.4489999999999998</v>
      </c>
      <c r="T137">
        <v>2.395</v>
      </c>
      <c r="U137">
        <v>0</v>
      </c>
      <c r="V137">
        <v>27</v>
      </c>
      <c r="W137">
        <v>20</v>
      </c>
      <c r="X137">
        <v>0.58426699999999998</v>
      </c>
      <c r="Y137" t="b">
        <v>0</v>
      </c>
      <c r="Z137" t="b">
        <v>0</v>
      </c>
      <c r="AA137" t="b">
        <v>0</v>
      </c>
      <c r="AB137" t="b">
        <v>0</v>
      </c>
      <c r="AC137" t="s">
        <v>238</v>
      </c>
      <c r="AD137" s="1" t="s">
        <v>264</v>
      </c>
      <c r="AE137" s="1" t="s">
        <v>264</v>
      </c>
      <c r="AF137" t="s">
        <v>141</v>
      </c>
      <c r="AG137" t="s">
        <v>123</v>
      </c>
    </row>
    <row r="138" spans="1:33" x14ac:dyDescent="0.25">
      <c r="A138">
        <v>4</v>
      </c>
      <c r="B138">
        <v>2</v>
      </c>
      <c r="C138" t="s">
        <v>112</v>
      </c>
      <c r="D138" t="s">
        <v>113</v>
      </c>
      <c r="E138" t="s">
        <v>80</v>
      </c>
      <c r="F138" t="e" cm="1">
        <f t="array" ref="F138">+ Temporal recency</f>
        <v>#NAME?</v>
      </c>
      <c r="G138" t="s">
        <v>231</v>
      </c>
      <c r="H138">
        <v>0.5</v>
      </c>
      <c r="I138">
        <v>0.3</v>
      </c>
      <c r="J138">
        <v>0.2</v>
      </c>
      <c r="K138">
        <v>7</v>
      </c>
      <c r="L138" t="s">
        <v>151</v>
      </c>
      <c r="M138" t="s">
        <v>152</v>
      </c>
      <c r="N138" t="s">
        <v>117</v>
      </c>
      <c r="O138" t="s">
        <v>153</v>
      </c>
      <c r="P138" t="s">
        <v>125</v>
      </c>
      <c r="Q138" t="b">
        <v>0</v>
      </c>
      <c r="R138">
        <v>0.75763599999999998</v>
      </c>
      <c r="S138">
        <v>5.0010000000000003</v>
      </c>
      <c r="T138">
        <v>2.508</v>
      </c>
      <c r="U138">
        <v>0</v>
      </c>
      <c r="V138">
        <v>30</v>
      </c>
      <c r="W138">
        <v>20</v>
      </c>
      <c r="X138">
        <v>0.59324699999999997</v>
      </c>
      <c r="Y138" t="b">
        <v>0</v>
      </c>
      <c r="Z138" t="b">
        <v>0</v>
      </c>
      <c r="AA138" t="b">
        <v>0</v>
      </c>
      <c r="AB138" t="b">
        <v>0</v>
      </c>
      <c r="AC138" t="s">
        <v>240</v>
      </c>
      <c r="AD138" s="1" t="s">
        <v>265</v>
      </c>
      <c r="AE138" s="1" t="s">
        <v>265</v>
      </c>
      <c r="AF138" t="s">
        <v>117</v>
      </c>
      <c r="AG138" t="s">
        <v>125</v>
      </c>
    </row>
    <row r="139" spans="1:33" x14ac:dyDescent="0.25">
      <c r="A139">
        <v>4</v>
      </c>
      <c r="B139">
        <v>2</v>
      </c>
      <c r="C139" t="s">
        <v>112</v>
      </c>
      <c r="D139" t="s">
        <v>113</v>
      </c>
      <c r="E139" t="s">
        <v>80</v>
      </c>
      <c r="F139" t="e" cm="1">
        <f t="array" ref="F139">+ Temporal recency</f>
        <v>#NAME?</v>
      </c>
      <c r="G139" t="s">
        <v>231</v>
      </c>
      <c r="H139">
        <v>0.5</v>
      </c>
      <c r="I139">
        <v>0.3</v>
      </c>
      <c r="J139">
        <v>0.2</v>
      </c>
      <c r="K139">
        <v>8</v>
      </c>
      <c r="L139" t="s">
        <v>157</v>
      </c>
      <c r="M139" t="s">
        <v>158</v>
      </c>
      <c r="N139" t="s">
        <v>159</v>
      </c>
      <c r="O139" t="s">
        <v>160</v>
      </c>
      <c r="P139" t="s">
        <v>161</v>
      </c>
      <c r="Q139" t="b">
        <v>0</v>
      </c>
      <c r="R139">
        <v>0.752328</v>
      </c>
      <c r="S139">
        <v>4.2460000000000004</v>
      </c>
      <c r="T139">
        <v>2.101</v>
      </c>
      <c r="U139">
        <v>0</v>
      </c>
      <c r="V139">
        <v>10</v>
      </c>
      <c r="W139">
        <v>10</v>
      </c>
      <c r="X139">
        <v>0.57808099999999996</v>
      </c>
      <c r="Y139" t="b">
        <v>0</v>
      </c>
      <c r="Z139" t="b">
        <v>0</v>
      </c>
      <c r="AA139" t="b">
        <v>0</v>
      </c>
      <c r="AB139" t="b">
        <v>0</v>
      </c>
      <c r="AC139" t="s">
        <v>162</v>
      </c>
      <c r="AD139" s="1" t="s">
        <v>266</v>
      </c>
      <c r="AE139" s="1" t="s">
        <v>266</v>
      </c>
      <c r="AF139" t="s">
        <v>159</v>
      </c>
      <c r="AG139" t="s">
        <v>161</v>
      </c>
    </row>
    <row r="140" spans="1:33" x14ac:dyDescent="0.25">
      <c r="A140">
        <v>4</v>
      </c>
      <c r="B140">
        <v>2</v>
      </c>
      <c r="C140" t="s">
        <v>112</v>
      </c>
      <c r="D140" t="s">
        <v>113</v>
      </c>
      <c r="E140" t="s">
        <v>80</v>
      </c>
      <c r="F140" t="e" cm="1">
        <f t="array" ref="F140">+ Temporal recency</f>
        <v>#NAME?</v>
      </c>
      <c r="G140" t="s">
        <v>231</v>
      </c>
      <c r="H140">
        <v>0.5</v>
      </c>
      <c r="I140">
        <v>0.3</v>
      </c>
      <c r="J140">
        <v>0.2</v>
      </c>
      <c r="K140">
        <v>9</v>
      </c>
      <c r="L140" t="s">
        <v>164</v>
      </c>
      <c r="M140" t="s">
        <v>165</v>
      </c>
      <c r="N140" t="s">
        <v>117</v>
      </c>
      <c r="O140" t="s">
        <v>166</v>
      </c>
      <c r="P140" t="s">
        <v>161</v>
      </c>
      <c r="Q140" t="b">
        <v>0</v>
      </c>
      <c r="R140">
        <v>0.73730600000000002</v>
      </c>
      <c r="S140">
        <v>4.4029999999999996</v>
      </c>
      <c r="T140">
        <v>2.4830000000000001</v>
      </c>
      <c r="U140">
        <v>0</v>
      </c>
      <c r="V140">
        <v>12</v>
      </c>
      <c r="W140">
        <v>12</v>
      </c>
      <c r="X140">
        <v>0.53515900000000005</v>
      </c>
      <c r="Y140" t="b">
        <v>0</v>
      </c>
      <c r="Z140" t="b">
        <v>0</v>
      </c>
      <c r="AA140" t="b">
        <v>0</v>
      </c>
      <c r="AB140" t="b">
        <v>0</v>
      </c>
      <c r="AC140" t="s">
        <v>167</v>
      </c>
      <c r="AD140" s="1" t="s">
        <v>243</v>
      </c>
      <c r="AE140" s="1" t="s">
        <v>243</v>
      </c>
      <c r="AF140" t="s">
        <v>117</v>
      </c>
      <c r="AG140" t="s">
        <v>161</v>
      </c>
    </row>
    <row r="141" spans="1:33" x14ac:dyDescent="0.25">
      <c r="A141">
        <v>4</v>
      </c>
      <c r="B141">
        <v>2</v>
      </c>
      <c r="C141" t="s">
        <v>112</v>
      </c>
      <c r="D141" t="s">
        <v>113</v>
      </c>
      <c r="E141" t="s">
        <v>80</v>
      </c>
      <c r="F141" t="e" cm="1">
        <f t="array" ref="F141">+ Temporal recency</f>
        <v>#NAME?</v>
      </c>
      <c r="G141" t="s">
        <v>231</v>
      </c>
      <c r="H141">
        <v>0.5</v>
      </c>
      <c r="I141">
        <v>0.3</v>
      </c>
      <c r="J141">
        <v>0.2</v>
      </c>
      <c r="K141">
        <v>10</v>
      </c>
      <c r="L141" t="s">
        <v>169</v>
      </c>
      <c r="M141" t="s">
        <v>170</v>
      </c>
      <c r="N141" t="s">
        <v>117</v>
      </c>
      <c r="O141" t="s">
        <v>171</v>
      </c>
      <c r="P141" t="s">
        <v>161</v>
      </c>
      <c r="Q141" t="b">
        <v>0</v>
      </c>
      <c r="R141">
        <v>0.74351500000000004</v>
      </c>
      <c r="S141">
        <v>4.83</v>
      </c>
      <c r="T141">
        <v>2.4359999999999999</v>
      </c>
      <c r="U141">
        <v>0</v>
      </c>
      <c r="V141">
        <v>23</v>
      </c>
      <c r="W141">
        <v>20</v>
      </c>
      <c r="X141">
        <v>0.55289900000000003</v>
      </c>
      <c r="Y141" t="b">
        <v>0</v>
      </c>
      <c r="Z141" t="b">
        <v>0</v>
      </c>
      <c r="AA141" t="b">
        <v>0</v>
      </c>
      <c r="AB141" t="b">
        <v>0</v>
      </c>
      <c r="AC141" t="s">
        <v>244</v>
      </c>
      <c r="AD141" s="1" t="s">
        <v>245</v>
      </c>
      <c r="AE141" s="1" t="s">
        <v>245</v>
      </c>
      <c r="AF141" t="s">
        <v>117</v>
      </c>
      <c r="AG141" t="s">
        <v>161</v>
      </c>
    </row>
    <row r="142" spans="1:33" x14ac:dyDescent="0.25">
      <c r="A142">
        <v>5</v>
      </c>
      <c r="B142">
        <v>2</v>
      </c>
      <c r="C142" t="s">
        <v>112</v>
      </c>
      <c r="D142" t="s">
        <v>113</v>
      </c>
      <c r="E142" t="s">
        <v>80</v>
      </c>
      <c r="F142" t="e" cm="1">
        <f t="array" ref="F142">+ Temporal recency</f>
        <v>#NAME?</v>
      </c>
      <c r="G142" t="s">
        <v>231</v>
      </c>
      <c r="H142">
        <v>0.5</v>
      </c>
      <c r="I142">
        <v>0.3</v>
      </c>
      <c r="J142">
        <v>0.2</v>
      </c>
      <c r="K142">
        <v>1</v>
      </c>
      <c r="L142" t="s">
        <v>115</v>
      </c>
      <c r="M142" t="s">
        <v>116</v>
      </c>
      <c r="N142" t="s">
        <v>117</v>
      </c>
      <c r="O142" t="s">
        <v>118</v>
      </c>
      <c r="P142" t="s">
        <v>117</v>
      </c>
      <c r="Q142" t="b">
        <v>1</v>
      </c>
      <c r="R142">
        <v>0.75744699999999998</v>
      </c>
      <c r="S142">
        <v>5.7960000000000003</v>
      </c>
      <c r="T142">
        <v>2.0179999999999998</v>
      </c>
      <c r="U142">
        <v>0</v>
      </c>
      <c r="V142">
        <v>27</v>
      </c>
      <c r="W142">
        <v>20</v>
      </c>
      <c r="X142">
        <v>0.59270599999999996</v>
      </c>
      <c r="Y142" t="b">
        <v>0</v>
      </c>
      <c r="Z142" t="b">
        <v>0</v>
      </c>
      <c r="AA142" t="b">
        <v>0</v>
      </c>
      <c r="AB142" t="b">
        <v>0</v>
      </c>
      <c r="AC142" t="s">
        <v>232</v>
      </c>
      <c r="AD142" s="1" t="s">
        <v>267</v>
      </c>
      <c r="AE142" s="1" t="s">
        <v>267</v>
      </c>
      <c r="AF142" t="s">
        <v>117</v>
      </c>
      <c r="AG142" t="s">
        <v>117</v>
      </c>
    </row>
    <row r="143" spans="1:33" x14ac:dyDescent="0.25">
      <c r="A143">
        <v>5</v>
      </c>
      <c r="B143">
        <v>2</v>
      </c>
      <c r="C143" t="s">
        <v>112</v>
      </c>
      <c r="D143" t="s">
        <v>113</v>
      </c>
      <c r="E143" t="s">
        <v>80</v>
      </c>
      <c r="F143" t="e" cm="1">
        <f t="array" ref="F143">+ Temporal recency</f>
        <v>#NAME?</v>
      </c>
      <c r="G143" t="s">
        <v>231</v>
      </c>
      <c r="H143">
        <v>0.5</v>
      </c>
      <c r="I143">
        <v>0.3</v>
      </c>
      <c r="J143">
        <v>0.2</v>
      </c>
      <c r="K143">
        <v>2</v>
      </c>
      <c r="L143" t="s">
        <v>121</v>
      </c>
      <c r="M143" t="s">
        <v>122</v>
      </c>
      <c r="N143" t="s">
        <v>123</v>
      </c>
      <c r="O143" t="s">
        <v>124</v>
      </c>
      <c r="P143" t="s">
        <v>125</v>
      </c>
      <c r="Q143" t="b">
        <v>0</v>
      </c>
      <c r="R143">
        <v>0.73483500000000002</v>
      </c>
      <c r="S143">
        <v>4.9180000000000001</v>
      </c>
      <c r="T143">
        <v>2.71</v>
      </c>
      <c r="U143">
        <v>0</v>
      </c>
      <c r="V143">
        <v>16</v>
      </c>
      <c r="W143">
        <v>16</v>
      </c>
      <c r="X143">
        <v>0.52809899999999999</v>
      </c>
      <c r="Y143" t="b">
        <v>0</v>
      </c>
      <c r="Z143" t="b">
        <v>0</v>
      </c>
      <c r="AA143" t="b">
        <v>0</v>
      </c>
      <c r="AB143" t="b">
        <v>0</v>
      </c>
      <c r="AC143" t="s">
        <v>126</v>
      </c>
      <c r="AD143" s="1" t="s">
        <v>198</v>
      </c>
      <c r="AE143" s="1" t="s">
        <v>198</v>
      </c>
      <c r="AF143" t="s">
        <v>123</v>
      </c>
      <c r="AG143" t="s">
        <v>125</v>
      </c>
    </row>
    <row r="144" spans="1:33" x14ac:dyDescent="0.25">
      <c r="A144">
        <v>5</v>
      </c>
      <c r="B144">
        <v>2</v>
      </c>
      <c r="C144" t="s">
        <v>112</v>
      </c>
      <c r="D144" t="s">
        <v>113</v>
      </c>
      <c r="E144" t="s">
        <v>80</v>
      </c>
      <c r="F144" t="e" cm="1">
        <f t="array" ref="F144">+ Temporal recency</f>
        <v>#NAME?</v>
      </c>
      <c r="G144" t="s">
        <v>231</v>
      </c>
      <c r="H144">
        <v>0.5</v>
      </c>
      <c r="I144">
        <v>0.3</v>
      </c>
      <c r="J144">
        <v>0.2</v>
      </c>
      <c r="K144">
        <v>3</v>
      </c>
      <c r="L144" t="s">
        <v>128</v>
      </c>
      <c r="M144" t="s">
        <v>129</v>
      </c>
      <c r="N144" t="s">
        <v>117</v>
      </c>
      <c r="O144" t="s">
        <v>130</v>
      </c>
      <c r="P144" t="s">
        <v>131</v>
      </c>
      <c r="Q144" t="b">
        <v>0</v>
      </c>
      <c r="R144">
        <v>0.73705200000000004</v>
      </c>
      <c r="S144">
        <v>4.1349999999999998</v>
      </c>
      <c r="T144">
        <v>2.4159999999999999</v>
      </c>
      <c r="U144">
        <v>0</v>
      </c>
      <c r="V144">
        <v>17</v>
      </c>
      <c r="W144">
        <v>17</v>
      </c>
      <c r="X144">
        <v>0.53443399999999996</v>
      </c>
      <c r="Y144" t="b">
        <v>0</v>
      </c>
      <c r="Z144" t="b">
        <v>0</v>
      </c>
      <c r="AA144" t="b">
        <v>0</v>
      </c>
      <c r="AB144" t="b">
        <v>0</v>
      </c>
      <c r="AC144" t="s">
        <v>132</v>
      </c>
      <c r="AD144" s="1" t="s">
        <v>268</v>
      </c>
      <c r="AE144" s="1" t="s">
        <v>268</v>
      </c>
      <c r="AF144" t="s">
        <v>117</v>
      </c>
      <c r="AG144" t="s">
        <v>131</v>
      </c>
    </row>
    <row r="145" spans="1:33" x14ac:dyDescent="0.25">
      <c r="A145">
        <v>5</v>
      </c>
      <c r="B145">
        <v>2</v>
      </c>
      <c r="C145" t="s">
        <v>112</v>
      </c>
      <c r="D145" t="s">
        <v>113</v>
      </c>
      <c r="E145" t="s">
        <v>80</v>
      </c>
      <c r="F145" t="e" cm="1">
        <f t="array" ref="F145">+ Temporal recency</f>
        <v>#NAME?</v>
      </c>
      <c r="G145" t="s">
        <v>231</v>
      </c>
      <c r="H145">
        <v>0.5</v>
      </c>
      <c r="I145">
        <v>0.3</v>
      </c>
      <c r="J145">
        <v>0.2</v>
      </c>
      <c r="K145">
        <v>4</v>
      </c>
      <c r="L145" t="s">
        <v>134</v>
      </c>
      <c r="M145" t="s">
        <v>135</v>
      </c>
      <c r="N145" t="s">
        <v>117</v>
      </c>
      <c r="O145" t="s">
        <v>136</v>
      </c>
      <c r="P145" t="s">
        <v>125</v>
      </c>
      <c r="Q145" t="b">
        <v>0</v>
      </c>
      <c r="R145">
        <v>0.74739699999999998</v>
      </c>
      <c r="S145">
        <v>5.9790000000000001</v>
      </c>
      <c r="T145">
        <v>2.782</v>
      </c>
      <c r="U145">
        <v>0</v>
      </c>
      <c r="V145">
        <v>22</v>
      </c>
      <c r="W145">
        <v>20</v>
      </c>
      <c r="X145">
        <v>0.56398999999999999</v>
      </c>
      <c r="Y145" t="b">
        <v>0</v>
      </c>
      <c r="Z145" t="b">
        <v>0</v>
      </c>
      <c r="AA145" t="b">
        <v>0</v>
      </c>
      <c r="AB145" t="b">
        <v>0</v>
      </c>
      <c r="AC145" t="s">
        <v>235</v>
      </c>
      <c r="AD145" s="1" t="s">
        <v>269</v>
      </c>
      <c r="AE145" s="1" t="s">
        <v>269</v>
      </c>
      <c r="AF145" t="s">
        <v>117</v>
      </c>
      <c r="AG145" t="s">
        <v>125</v>
      </c>
    </row>
    <row r="146" spans="1:33" x14ac:dyDescent="0.25">
      <c r="A146">
        <v>5</v>
      </c>
      <c r="B146">
        <v>2</v>
      </c>
      <c r="C146" t="s">
        <v>112</v>
      </c>
      <c r="D146" t="s">
        <v>113</v>
      </c>
      <c r="E146" t="s">
        <v>80</v>
      </c>
      <c r="F146" t="e" cm="1">
        <f t="array" ref="F146">+ Temporal recency</f>
        <v>#NAME?</v>
      </c>
      <c r="G146" t="s">
        <v>231</v>
      </c>
      <c r="H146">
        <v>0.5</v>
      </c>
      <c r="I146">
        <v>0.3</v>
      </c>
      <c r="J146">
        <v>0.2</v>
      </c>
      <c r="K146">
        <v>5</v>
      </c>
      <c r="L146" t="s">
        <v>139</v>
      </c>
      <c r="M146" t="s">
        <v>140</v>
      </c>
      <c r="N146" t="s">
        <v>141</v>
      </c>
      <c r="O146" t="s">
        <v>142</v>
      </c>
      <c r="P146" t="s">
        <v>143</v>
      </c>
      <c r="Q146" t="b">
        <v>0</v>
      </c>
      <c r="R146">
        <v>0.74609700000000001</v>
      </c>
      <c r="S146">
        <v>4.2859999999999996</v>
      </c>
      <c r="T146">
        <v>2.41</v>
      </c>
      <c r="U146">
        <v>0</v>
      </c>
      <c r="V146">
        <v>19</v>
      </c>
      <c r="W146">
        <v>19</v>
      </c>
      <c r="X146">
        <v>0.560276</v>
      </c>
      <c r="Y146" t="b">
        <v>0</v>
      </c>
      <c r="Z146" t="b">
        <v>0</v>
      </c>
      <c r="AA146" t="b">
        <v>0</v>
      </c>
      <c r="AB146" t="b">
        <v>0</v>
      </c>
      <c r="AC146" t="s">
        <v>144</v>
      </c>
      <c r="AD146" s="1" t="s">
        <v>270</v>
      </c>
      <c r="AE146" s="1" t="s">
        <v>270</v>
      </c>
      <c r="AF146" t="s">
        <v>141</v>
      </c>
      <c r="AG146" t="s">
        <v>143</v>
      </c>
    </row>
    <row r="147" spans="1:33" x14ac:dyDescent="0.25">
      <c r="A147">
        <v>5</v>
      </c>
      <c r="B147">
        <v>2</v>
      </c>
      <c r="C147" t="s">
        <v>112</v>
      </c>
      <c r="D147" t="s">
        <v>113</v>
      </c>
      <c r="E147" t="s">
        <v>80</v>
      </c>
      <c r="F147" t="e" cm="1">
        <f t="array" ref="F147">+ Temporal recency</f>
        <v>#NAME?</v>
      </c>
      <c r="G147" t="s">
        <v>231</v>
      </c>
      <c r="H147">
        <v>0.5</v>
      </c>
      <c r="I147">
        <v>0.3</v>
      </c>
      <c r="J147">
        <v>0.2</v>
      </c>
      <c r="K147">
        <v>6</v>
      </c>
      <c r="L147" t="s">
        <v>146</v>
      </c>
      <c r="M147" t="s">
        <v>147</v>
      </c>
      <c r="N147" t="s">
        <v>141</v>
      </c>
      <c r="O147" t="s">
        <v>148</v>
      </c>
      <c r="P147" t="s">
        <v>123</v>
      </c>
      <c r="Q147" t="b">
        <v>0</v>
      </c>
      <c r="R147">
        <v>0.754498</v>
      </c>
      <c r="S147">
        <v>4.6500000000000004</v>
      </c>
      <c r="T147">
        <v>2.1059999999999999</v>
      </c>
      <c r="U147">
        <v>0</v>
      </c>
      <c r="V147">
        <v>27</v>
      </c>
      <c r="W147">
        <v>20</v>
      </c>
      <c r="X147">
        <v>0.58428000000000002</v>
      </c>
      <c r="Y147" t="b">
        <v>0</v>
      </c>
      <c r="Z147" t="b">
        <v>0</v>
      </c>
      <c r="AA147" t="b">
        <v>0</v>
      </c>
      <c r="AB147" t="b">
        <v>0</v>
      </c>
      <c r="AC147" t="s">
        <v>238</v>
      </c>
      <c r="AD147" s="1" t="s">
        <v>271</v>
      </c>
      <c r="AE147" s="1" t="s">
        <v>271</v>
      </c>
      <c r="AF147" t="s">
        <v>141</v>
      </c>
      <c r="AG147" t="s">
        <v>123</v>
      </c>
    </row>
    <row r="148" spans="1:33" x14ac:dyDescent="0.25">
      <c r="A148">
        <v>5</v>
      </c>
      <c r="B148">
        <v>2</v>
      </c>
      <c r="C148" t="s">
        <v>112</v>
      </c>
      <c r="D148" t="s">
        <v>113</v>
      </c>
      <c r="E148" t="s">
        <v>80</v>
      </c>
      <c r="F148" t="e" cm="1">
        <f t="array" ref="F148">+ Temporal recency</f>
        <v>#NAME?</v>
      </c>
      <c r="G148" t="s">
        <v>231</v>
      </c>
      <c r="H148">
        <v>0.5</v>
      </c>
      <c r="I148">
        <v>0.3</v>
      </c>
      <c r="J148">
        <v>0.2</v>
      </c>
      <c r="K148">
        <v>7</v>
      </c>
      <c r="L148" t="s">
        <v>151</v>
      </c>
      <c r="M148" t="s">
        <v>152</v>
      </c>
      <c r="N148" t="s">
        <v>117</v>
      </c>
      <c r="O148" t="s">
        <v>153</v>
      </c>
      <c r="P148" t="s">
        <v>125</v>
      </c>
      <c r="Q148" t="b">
        <v>0</v>
      </c>
      <c r="R148">
        <v>0.75767499999999999</v>
      </c>
      <c r="S148">
        <v>6.1130000000000004</v>
      </c>
      <c r="T148">
        <v>2.8969999999999998</v>
      </c>
      <c r="U148">
        <v>0</v>
      </c>
      <c r="V148">
        <v>30</v>
      </c>
      <c r="W148">
        <v>20</v>
      </c>
      <c r="X148">
        <v>0.59335599999999999</v>
      </c>
      <c r="Y148" t="b">
        <v>0</v>
      </c>
      <c r="Z148" t="b">
        <v>0</v>
      </c>
      <c r="AA148" t="b">
        <v>0</v>
      </c>
      <c r="AB148" t="b">
        <v>0</v>
      </c>
      <c r="AC148" t="s">
        <v>240</v>
      </c>
      <c r="AD148" s="1" t="s">
        <v>272</v>
      </c>
      <c r="AE148" s="1" t="s">
        <v>272</v>
      </c>
      <c r="AF148" t="s">
        <v>117</v>
      </c>
      <c r="AG148" t="s">
        <v>125</v>
      </c>
    </row>
    <row r="149" spans="1:33" x14ac:dyDescent="0.25">
      <c r="A149">
        <v>5</v>
      </c>
      <c r="B149">
        <v>2</v>
      </c>
      <c r="C149" t="s">
        <v>112</v>
      </c>
      <c r="D149" t="s">
        <v>113</v>
      </c>
      <c r="E149" t="s">
        <v>80</v>
      </c>
      <c r="F149" t="e" cm="1">
        <f t="array" ref="F149">+ Temporal recency</f>
        <v>#NAME?</v>
      </c>
      <c r="G149" t="s">
        <v>231</v>
      </c>
      <c r="H149">
        <v>0.5</v>
      </c>
      <c r="I149">
        <v>0.3</v>
      </c>
      <c r="J149">
        <v>0.2</v>
      </c>
      <c r="K149">
        <v>8</v>
      </c>
      <c r="L149" t="s">
        <v>157</v>
      </c>
      <c r="M149" t="s">
        <v>158</v>
      </c>
      <c r="N149" t="s">
        <v>159</v>
      </c>
      <c r="O149" t="s">
        <v>160</v>
      </c>
      <c r="P149" t="s">
        <v>161</v>
      </c>
      <c r="Q149" t="b">
        <v>0</v>
      </c>
      <c r="R149">
        <v>0.75232600000000005</v>
      </c>
      <c r="S149">
        <v>5.4950000000000001</v>
      </c>
      <c r="T149">
        <v>2.383</v>
      </c>
      <c r="U149">
        <v>0</v>
      </c>
      <c r="V149">
        <v>10</v>
      </c>
      <c r="W149">
        <v>10</v>
      </c>
      <c r="X149">
        <v>0.57807399999999998</v>
      </c>
      <c r="Y149" t="b">
        <v>0</v>
      </c>
      <c r="Z149" t="b">
        <v>0</v>
      </c>
      <c r="AA149" t="b">
        <v>0</v>
      </c>
      <c r="AB149" t="b">
        <v>0</v>
      </c>
      <c r="AC149" t="s">
        <v>162</v>
      </c>
      <c r="AD149" s="1" t="s">
        <v>266</v>
      </c>
      <c r="AE149" s="1" t="s">
        <v>266</v>
      </c>
      <c r="AF149" t="s">
        <v>159</v>
      </c>
      <c r="AG149" t="s">
        <v>161</v>
      </c>
    </row>
    <row r="150" spans="1:33" x14ac:dyDescent="0.25">
      <c r="A150">
        <v>5</v>
      </c>
      <c r="B150">
        <v>2</v>
      </c>
      <c r="C150" t="s">
        <v>112</v>
      </c>
      <c r="D150" t="s">
        <v>113</v>
      </c>
      <c r="E150" t="s">
        <v>80</v>
      </c>
      <c r="F150" t="e" cm="1">
        <f t="array" ref="F150">+ Temporal recency</f>
        <v>#NAME?</v>
      </c>
      <c r="G150" t="s">
        <v>231</v>
      </c>
      <c r="H150">
        <v>0.5</v>
      </c>
      <c r="I150">
        <v>0.3</v>
      </c>
      <c r="J150">
        <v>0.2</v>
      </c>
      <c r="K150">
        <v>9</v>
      </c>
      <c r="L150" t="s">
        <v>164</v>
      </c>
      <c r="M150" t="s">
        <v>165</v>
      </c>
      <c r="N150" t="s">
        <v>117</v>
      </c>
      <c r="O150" t="s">
        <v>166</v>
      </c>
      <c r="P150" t="s">
        <v>161</v>
      </c>
      <c r="Q150" t="b">
        <v>0</v>
      </c>
      <c r="R150">
        <v>0.73730600000000002</v>
      </c>
      <c r="S150">
        <v>4.6920000000000002</v>
      </c>
      <c r="T150">
        <v>2.3839999999999999</v>
      </c>
      <c r="U150">
        <v>0</v>
      </c>
      <c r="V150">
        <v>12</v>
      </c>
      <c r="W150">
        <v>12</v>
      </c>
      <c r="X150">
        <v>0.53515900000000005</v>
      </c>
      <c r="Y150" t="b">
        <v>0</v>
      </c>
      <c r="Z150" t="b">
        <v>0</v>
      </c>
      <c r="AA150" t="b">
        <v>0</v>
      </c>
      <c r="AB150" t="b">
        <v>0</v>
      </c>
      <c r="AC150" t="s">
        <v>167</v>
      </c>
      <c r="AD150" s="1" t="s">
        <v>273</v>
      </c>
      <c r="AE150" s="1" t="s">
        <v>273</v>
      </c>
      <c r="AF150" t="s">
        <v>117</v>
      </c>
      <c r="AG150" t="s">
        <v>161</v>
      </c>
    </row>
    <row r="151" spans="1:33" x14ac:dyDescent="0.25">
      <c r="A151">
        <v>5</v>
      </c>
      <c r="B151">
        <v>2</v>
      </c>
      <c r="C151" t="s">
        <v>112</v>
      </c>
      <c r="D151" t="s">
        <v>113</v>
      </c>
      <c r="E151" t="s">
        <v>80</v>
      </c>
      <c r="F151" t="e" cm="1">
        <f t="array" ref="F151">+ Temporal recency</f>
        <v>#NAME?</v>
      </c>
      <c r="G151" t="s">
        <v>231</v>
      </c>
      <c r="H151">
        <v>0.5</v>
      </c>
      <c r="I151">
        <v>0.3</v>
      </c>
      <c r="J151">
        <v>0.2</v>
      </c>
      <c r="K151">
        <v>10</v>
      </c>
      <c r="L151" t="s">
        <v>169</v>
      </c>
      <c r="M151" t="s">
        <v>170</v>
      </c>
      <c r="N151" t="s">
        <v>117</v>
      </c>
      <c r="O151" t="s">
        <v>171</v>
      </c>
      <c r="P151" t="s">
        <v>161</v>
      </c>
      <c r="Q151" t="b">
        <v>0</v>
      </c>
      <c r="R151">
        <v>0.74351599999999995</v>
      </c>
      <c r="S151">
        <v>7.0179999999999998</v>
      </c>
      <c r="T151">
        <v>4.1779999999999999</v>
      </c>
      <c r="U151">
        <v>0</v>
      </c>
      <c r="V151">
        <v>23</v>
      </c>
      <c r="W151">
        <v>20</v>
      </c>
      <c r="X151">
        <v>0.55290300000000003</v>
      </c>
      <c r="Y151" t="b">
        <v>0</v>
      </c>
      <c r="Z151" t="b">
        <v>0</v>
      </c>
      <c r="AA151" t="b">
        <v>0</v>
      </c>
      <c r="AB151" t="b">
        <v>0</v>
      </c>
      <c r="AC151" t="s">
        <v>244</v>
      </c>
      <c r="AD151" s="1" t="s">
        <v>245</v>
      </c>
      <c r="AE151" s="1" t="s">
        <v>245</v>
      </c>
      <c r="AF151" t="s">
        <v>117</v>
      </c>
      <c r="AG151" t="s">
        <v>161</v>
      </c>
    </row>
    <row r="152" spans="1:33" x14ac:dyDescent="0.25">
      <c r="A152">
        <v>1</v>
      </c>
      <c r="B152">
        <v>3</v>
      </c>
      <c r="C152" t="s">
        <v>112</v>
      </c>
      <c r="D152" t="s">
        <v>113</v>
      </c>
      <c r="E152" t="s">
        <v>81</v>
      </c>
      <c r="F152" t="e" cm="1">
        <f t="array" ref="F152">+ Hybrid context</f>
        <v>#NAME?</v>
      </c>
      <c r="G152" t="s">
        <v>274</v>
      </c>
      <c r="H152">
        <v>0.5</v>
      </c>
      <c r="I152">
        <v>0.3</v>
      </c>
      <c r="J152">
        <v>0.2</v>
      </c>
      <c r="K152">
        <v>1</v>
      </c>
      <c r="L152" t="s">
        <v>115</v>
      </c>
      <c r="M152" t="s">
        <v>116</v>
      </c>
      <c r="N152" t="s">
        <v>117</v>
      </c>
      <c r="O152" t="s">
        <v>118</v>
      </c>
      <c r="P152" t="s">
        <v>117</v>
      </c>
      <c r="Q152" t="b">
        <v>1</v>
      </c>
      <c r="R152">
        <v>0.75744699999999998</v>
      </c>
      <c r="S152">
        <v>5.1180000000000003</v>
      </c>
      <c r="T152">
        <v>2.2890000000000001</v>
      </c>
      <c r="U152">
        <v>0</v>
      </c>
      <c r="V152">
        <v>27</v>
      </c>
      <c r="W152">
        <v>20</v>
      </c>
      <c r="X152">
        <v>0.59270599999999996</v>
      </c>
      <c r="Y152" t="b">
        <v>1</v>
      </c>
      <c r="Z152" t="b">
        <v>0</v>
      </c>
      <c r="AA152" t="b">
        <v>0</v>
      </c>
      <c r="AB152" t="b">
        <v>0</v>
      </c>
      <c r="AC152" t="s">
        <v>232</v>
      </c>
      <c r="AD152" s="1" t="s">
        <v>275</v>
      </c>
      <c r="AE152" s="1" t="s">
        <v>275</v>
      </c>
      <c r="AF152" t="s">
        <v>117</v>
      </c>
      <c r="AG152" t="s">
        <v>117</v>
      </c>
    </row>
    <row r="153" spans="1:33" x14ac:dyDescent="0.25">
      <c r="A153">
        <v>1</v>
      </c>
      <c r="B153">
        <v>3</v>
      </c>
      <c r="C153" t="s">
        <v>112</v>
      </c>
      <c r="D153" t="s">
        <v>113</v>
      </c>
      <c r="E153" t="s">
        <v>81</v>
      </c>
      <c r="F153" t="e" cm="1">
        <f t="array" ref="F153">+ Hybrid context</f>
        <v>#NAME?</v>
      </c>
      <c r="G153" t="s">
        <v>274</v>
      </c>
      <c r="H153">
        <v>0.5</v>
      </c>
      <c r="I153">
        <v>0.3</v>
      </c>
      <c r="J153">
        <v>0.2</v>
      </c>
      <c r="K153">
        <v>2</v>
      </c>
      <c r="L153" t="s">
        <v>121</v>
      </c>
      <c r="M153" t="s">
        <v>122</v>
      </c>
      <c r="N153" t="s">
        <v>123</v>
      </c>
      <c r="O153" t="s">
        <v>124</v>
      </c>
      <c r="P153" t="s">
        <v>125</v>
      </c>
      <c r="Q153" t="b">
        <v>0</v>
      </c>
      <c r="R153">
        <v>0.73483500000000002</v>
      </c>
      <c r="S153">
        <v>7.1390000000000002</v>
      </c>
      <c r="T153">
        <v>3.9740000000000002</v>
      </c>
      <c r="U153">
        <v>0</v>
      </c>
      <c r="V153">
        <v>16</v>
      </c>
      <c r="W153">
        <v>16</v>
      </c>
      <c r="X153">
        <v>0.52809899999999999</v>
      </c>
      <c r="Y153" t="b">
        <v>1</v>
      </c>
      <c r="Z153" t="b">
        <v>0</v>
      </c>
      <c r="AA153" t="b">
        <v>0</v>
      </c>
      <c r="AB153" t="b">
        <v>0</v>
      </c>
      <c r="AC153" t="s">
        <v>126</v>
      </c>
      <c r="AD153" s="1" t="s">
        <v>276</v>
      </c>
      <c r="AE153" s="1" t="s">
        <v>276</v>
      </c>
      <c r="AF153" t="s">
        <v>123</v>
      </c>
      <c r="AG153" t="s">
        <v>125</v>
      </c>
    </row>
    <row r="154" spans="1:33" x14ac:dyDescent="0.25">
      <c r="A154">
        <v>1</v>
      </c>
      <c r="B154">
        <v>3</v>
      </c>
      <c r="C154" t="s">
        <v>112</v>
      </c>
      <c r="D154" t="s">
        <v>113</v>
      </c>
      <c r="E154" t="s">
        <v>81</v>
      </c>
      <c r="F154" t="e" cm="1">
        <f t="array" ref="F154">+ Hybrid context</f>
        <v>#NAME?</v>
      </c>
      <c r="G154" t="s">
        <v>274</v>
      </c>
      <c r="H154">
        <v>0.5</v>
      </c>
      <c r="I154">
        <v>0.3</v>
      </c>
      <c r="J154">
        <v>0.2</v>
      </c>
      <c r="K154">
        <v>3</v>
      </c>
      <c r="L154" t="s">
        <v>128</v>
      </c>
      <c r="M154" t="s">
        <v>129</v>
      </c>
      <c r="N154" t="s">
        <v>117</v>
      </c>
      <c r="O154" t="s">
        <v>130</v>
      </c>
      <c r="P154" t="s">
        <v>131</v>
      </c>
      <c r="Q154" t="b">
        <v>0</v>
      </c>
      <c r="R154">
        <v>0.73704999999999998</v>
      </c>
      <c r="S154">
        <v>4.774</v>
      </c>
      <c r="T154">
        <v>2.395</v>
      </c>
      <c r="U154">
        <v>0</v>
      </c>
      <c r="V154">
        <v>17</v>
      </c>
      <c r="W154">
        <v>17</v>
      </c>
      <c r="X154">
        <v>0.53442900000000004</v>
      </c>
      <c r="Y154" t="b">
        <v>1</v>
      </c>
      <c r="Z154" t="b">
        <v>0</v>
      </c>
      <c r="AA154" t="b">
        <v>0</v>
      </c>
      <c r="AB154" t="b">
        <v>0</v>
      </c>
      <c r="AC154" t="s">
        <v>132</v>
      </c>
      <c r="AD154" s="1" t="s">
        <v>277</v>
      </c>
      <c r="AE154" s="1" t="s">
        <v>277</v>
      </c>
      <c r="AF154" t="s">
        <v>117</v>
      </c>
      <c r="AG154" t="s">
        <v>131</v>
      </c>
    </row>
    <row r="155" spans="1:33" x14ac:dyDescent="0.25">
      <c r="A155">
        <v>1</v>
      </c>
      <c r="B155">
        <v>3</v>
      </c>
      <c r="C155" t="s">
        <v>112</v>
      </c>
      <c r="D155" t="s">
        <v>113</v>
      </c>
      <c r="E155" t="s">
        <v>81</v>
      </c>
      <c r="F155" t="e" cm="1">
        <f t="array" ref="F155">+ Hybrid context</f>
        <v>#NAME?</v>
      </c>
      <c r="G155" t="s">
        <v>274</v>
      </c>
      <c r="H155">
        <v>0.5</v>
      </c>
      <c r="I155">
        <v>0.3</v>
      </c>
      <c r="J155">
        <v>0.2</v>
      </c>
      <c r="K155">
        <v>4</v>
      </c>
      <c r="L155" t="s">
        <v>134</v>
      </c>
      <c r="M155" t="s">
        <v>135</v>
      </c>
      <c r="N155" t="s">
        <v>117</v>
      </c>
      <c r="O155" t="s">
        <v>136</v>
      </c>
      <c r="P155" t="s">
        <v>125</v>
      </c>
      <c r="Q155" t="b">
        <v>0</v>
      </c>
      <c r="R155">
        <v>0.74739699999999998</v>
      </c>
      <c r="S155">
        <v>6.2359999999999998</v>
      </c>
      <c r="T155">
        <v>2.5129999999999999</v>
      </c>
      <c r="U155">
        <v>0</v>
      </c>
      <c r="V155">
        <v>22</v>
      </c>
      <c r="W155">
        <v>20</v>
      </c>
      <c r="X155">
        <v>0.56399200000000005</v>
      </c>
      <c r="Y155" t="b">
        <v>1</v>
      </c>
      <c r="Z155" t="b">
        <v>0</v>
      </c>
      <c r="AA155" t="b">
        <v>0</v>
      </c>
      <c r="AB155" t="b">
        <v>0</v>
      </c>
      <c r="AC155" t="s">
        <v>235</v>
      </c>
      <c r="AD155" s="1" t="s">
        <v>278</v>
      </c>
      <c r="AE155" s="1" t="s">
        <v>278</v>
      </c>
      <c r="AF155" t="s">
        <v>117</v>
      </c>
      <c r="AG155" t="s">
        <v>125</v>
      </c>
    </row>
    <row r="156" spans="1:33" x14ac:dyDescent="0.25">
      <c r="A156">
        <v>1</v>
      </c>
      <c r="B156">
        <v>3</v>
      </c>
      <c r="C156" t="s">
        <v>112</v>
      </c>
      <c r="D156" t="s">
        <v>113</v>
      </c>
      <c r="E156" t="s">
        <v>81</v>
      </c>
      <c r="F156" t="e" cm="1">
        <f t="array" ref="F156">+ Hybrid context</f>
        <v>#NAME?</v>
      </c>
      <c r="G156" t="s">
        <v>274</v>
      </c>
      <c r="H156">
        <v>0.5</v>
      </c>
      <c r="I156">
        <v>0.3</v>
      </c>
      <c r="J156">
        <v>0.2</v>
      </c>
      <c r="K156">
        <v>5</v>
      </c>
      <c r="L156" t="s">
        <v>139</v>
      </c>
      <c r="M156" t="s">
        <v>140</v>
      </c>
      <c r="N156" t="s">
        <v>141</v>
      </c>
      <c r="O156" t="s">
        <v>142</v>
      </c>
      <c r="P156" t="s">
        <v>279</v>
      </c>
      <c r="Q156" t="b">
        <v>0</v>
      </c>
      <c r="R156">
        <v>0.74609599999999998</v>
      </c>
      <c r="S156">
        <v>6.0709999999999997</v>
      </c>
      <c r="T156">
        <v>2.7389999999999999</v>
      </c>
      <c r="U156">
        <v>0</v>
      </c>
      <c r="V156">
        <v>19</v>
      </c>
      <c r="W156">
        <v>19</v>
      </c>
      <c r="X156">
        <v>0.56027499999999997</v>
      </c>
      <c r="Y156" t="b">
        <v>1</v>
      </c>
      <c r="Z156" t="b">
        <v>0</v>
      </c>
      <c r="AA156" t="b">
        <v>0</v>
      </c>
      <c r="AB156" t="b">
        <v>0</v>
      </c>
      <c r="AC156" t="s">
        <v>144</v>
      </c>
      <c r="AD156" s="1" t="s">
        <v>280</v>
      </c>
      <c r="AE156" s="1" t="s">
        <v>280</v>
      </c>
      <c r="AF156" t="s">
        <v>141</v>
      </c>
      <c r="AG156" t="s">
        <v>279</v>
      </c>
    </row>
    <row r="157" spans="1:33" x14ac:dyDescent="0.25">
      <c r="A157">
        <v>1</v>
      </c>
      <c r="B157">
        <v>3</v>
      </c>
      <c r="C157" t="s">
        <v>112</v>
      </c>
      <c r="D157" t="s">
        <v>113</v>
      </c>
      <c r="E157" t="s">
        <v>81</v>
      </c>
      <c r="F157" t="e" cm="1">
        <f t="array" ref="F157">+ Hybrid context</f>
        <v>#NAME?</v>
      </c>
      <c r="G157" t="s">
        <v>274</v>
      </c>
      <c r="H157">
        <v>0.5</v>
      </c>
      <c r="I157">
        <v>0.3</v>
      </c>
      <c r="J157">
        <v>0.2</v>
      </c>
      <c r="K157">
        <v>6</v>
      </c>
      <c r="L157" t="s">
        <v>146</v>
      </c>
      <c r="M157" t="s">
        <v>147</v>
      </c>
      <c r="N157" t="s">
        <v>141</v>
      </c>
      <c r="O157" t="s">
        <v>148</v>
      </c>
      <c r="P157" t="s">
        <v>123</v>
      </c>
      <c r="Q157" t="b">
        <v>0</v>
      </c>
      <c r="R157">
        <v>0.75448400000000004</v>
      </c>
      <c r="S157">
        <v>5.3879999999999999</v>
      </c>
      <c r="T157">
        <v>2.1779999999999999</v>
      </c>
      <c r="U157">
        <v>0</v>
      </c>
      <c r="V157">
        <v>27</v>
      </c>
      <c r="W157">
        <v>20</v>
      </c>
      <c r="X157">
        <v>0.58424100000000001</v>
      </c>
      <c r="Y157" t="b">
        <v>1</v>
      </c>
      <c r="Z157" t="b">
        <v>0</v>
      </c>
      <c r="AA157" t="b">
        <v>0</v>
      </c>
      <c r="AB157" t="b">
        <v>0</v>
      </c>
      <c r="AC157" t="s">
        <v>238</v>
      </c>
      <c r="AD157" s="1" t="s">
        <v>281</v>
      </c>
      <c r="AE157" s="1" t="s">
        <v>281</v>
      </c>
      <c r="AF157" t="s">
        <v>141</v>
      </c>
      <c r="AG157" t="s">
        <v>123</v>
      </c>
    </row>
    <row r="158" spans="1:33" x14ac:dyDescent="0.25">
      <c r="A158">
        <v>1</v>
      </c>
      <c r="B158">
        <v>3</v>
      </c>
      <c r="C158" t="s">
        <v>112</v>
      </c>
      <c r="D158" t="s">
        <v>113</v>
      </c>
      <c r="E158" t="s">
        <v>81</v>
      </c>
      <c r="F158" t="e" cm="1">
        <f t="array" ref="F158">+ Hybrid context</f>
        <v>#NAME?</v>
      </c>
      <c r="G158" t="s">
        <v>274</v>
      </c>
      <c r="H158">
        <v>0.5</v>
      </c>
      <c r="I158">
        <v>0.3</v>
      </c>
      <c r="J158">
        <v>0.2</v>
      </c>
      <c r="K158">
        <v>7</v>
      </c>
      <c r="L158" t="s">
        <v>151</v>
      </c>
      <c r="M158" t="s">
        <v>152</v>
      </c>
      <c r="N158" t="s">
        <v>117</v>
      </c>
      <c r="O158" t="s">
        <v>153</v>
      </c>
      <c r="P158" t="s">
        <v>154</v>
      </c>
      <c r="Q158" t="b">
        <v>0</v>
      </c>
      <c r="R158">
        <v>0.75763599999999998</v>
      </c>
      <c r="S158">
        <v>5.8470000000000004</v>
      </c>
      <c r="T158">
        <v>2.923</v>
      </c>
      <c r="U158">
        <v>0</v>
      </c>
      <c r="V158">
        <v>30</v>
      </c>
      <c r="W158">
        <v>20</v>
      </c>
      <c r="X158">
        <v>0.59324699999999997</v>
      </c>
      <c r="Y158" t="b">
        <v>1</v>
      </c>
      <c r="Z158" t="b">
        <v>0</v>
      </c>
      <c r="AA158" t="b">
        <v>0</v>
      </c>
      <c r="AB158" t="b">
        <v>0</v>
      </c>
      <c r="AC158" t="s">
        <v>240</v>
      </c>
      <c r="AD158" s="1" t="s">
        <v>282</v>
      </c>
      <c r="AE158" s="1" t="s">
        <v>282</v>
      </c>
      <c r="AF158" t="s">
        <v>117</v>
      </c>
      <c r="AG158" t="s">
        <v>154</v>
      </c>
    </row>
    <row r="159" spans="1:33" x14ac:dyDescent="0.25">
      <c r="A159">
        <v>1</v>
      </c>
      <c r="B159">
        <v>3</v>
      </c>
      <c r="C159" t="s">
        <v>112</v>
      </c>
      <c r="D159" t="s">
        <v>113</v>
      </c>
      <c r="E159" t="s">
        <v>81</v>
      </c>
      <c r="F159" t="e" cm="1">
        <f t="array" ref="F159">+ Hybrid context</f>
        <v>#NAME?</v>
      </c>
      <c r="G159" t="s">
        <v>274</v>
      </c>
      <c r="H159">
        <v>0.5</v>
      </c>
      <c r="I159">
        <v>0.3</v>
      </c>
      <c r="J159">
        <v>0.2</v>
      </c>
      <c r="K159">
        <v>8</v>
      </c>
      <c r="L159" t="s">
        <v>157</v>
      </c>
      <c r="M159" t="s">
        <v>158</v>
      </c>
      <c r="N159" t="s">
        <v>159</v>
      </c>
      <c r="O159" t="s">
        <v>160</v>
      </c>
      <c r="P159" t="s">
        <v>161</v>
      </c>
      <c r="Q159" t="b">
        <v>0</v>
      </c>
      <c r="R159">
        <v>0.75232600000000005</v>
      </c>
      <c r="S159">
        <v>8.5969999999999995</v>
      </c>
      <c r="T159">
        <v>2.25</v>
      </c>
      <c r="U159">
        <v>0</v>
      </c>
      <c r="V159">
        <v>10</v>
      </c>
      <c r="W159">
        <v>10</v>
      </c>
      <c r="X159">
        <v>0.57807399999999998</v>
      </c>
      <c r="Y159" t="b">
        <v>1</v>
      </c>
      <c r="Z159" t="b">
        <v>0</v>
      </c>
      <c r="AA159" t="b">
        <v>0</v>
      </c>
      <c r="AB159" t="b">
        <v>0</v>
      </c>
      <c r="AC159" t="s">
        <v>162</v>
      </c>
      <c r="AD159" s="1" t="s">
        <v>283</v>
      </c>
      <c r="AE159" s="1" t="s">
        <v>283</v>
      </c>
      <c r="AF159" t="s">
        <v>159</v>
      </c>
      <c r="AG159" t="s">
        <v>161</v>
      </c>
    </row>
    <row r="160" spans="1:33" x14ac:dyDescent="0.25">
      <c r="A160">
        <v>1</v>
      </c>
      <c r="B160">
        <v>3</v>
      </c>
      <c r="C160" t="s">
        <v>112</v>
      </c>
      <c r="D160" t="s">
        <v>113</v>
      </c>
      <c r="E160" t="s">
        <v>81</v>
      </c>
      <c r="F160" t="e" cm="1">
        <f t="array" ref="F160">+ Hybrid context</f>
        <v>#NAME?</v>
      </c>
      <c r="G160" t="s">
        <v>274</v>
      </c>
      <c r="H160">
        <v>0.5</v>
      </c>
      <c r="I160">
        <v>0.3</v>
      </c>
      <c r="J160">
        <v>0.2</v>
      </c>
      <c r="K160">
        <v>9</v>
      </c>
      <c r="L160" t="s">
        <v>164</v>
      </c>
      <c r="M160" t="s">
        <v>165</v>
      </c>
      <c r="N160" t="s">
        <v>117</v>
      </c>
      <c r="O160" t="s">
        <v>166</v>
      </c>
      <c r="P160" t="s">
        <v>161</v>
      </c>
      <c r="Q160" t="b">
        <v>0</v>
      </c>
      <c r="R160">
        <v>0.73730499999999999</v>
      </c>
      <c r="S160">
        <v>5.6</v>
      </c>
      <c r="T160">
        <v>2.306</v>
      </c>
      <c r="U160">
        <v>0</v>
      </c>
      <c r="V160">
        <v>12</v>
      </c>
      <c r="W160">
        <v>12</v>
      </c>
      <c r="X160">
        <v>0.53515699999999999</v>
      </c>
      <c r="Y160" t="b">
        <v>1</v>
      </c>
      <c r="Z160" t="b">
        <v>0</v>
      </c>
      <c r="AA160" t="b">
        <v>0</v>
      </c>
      <c r="AB160" t="b">
        <v>0</v>
      </c>
      <c r="AC160" t="s">
        <v>167</v>
      </c>
      <c r="AD160" s="1" t="s">
        <v>284</v>
      </c>
      <c r="AE160" s="1" t="s">
        <v>284</v>
      </c>
      <c r="AF160" t="s">
        <v>117</v>
      </c>
      <c r="AG160" t="s">
        <v>161</v>
      </c>
    </row>
    <row r="161" spans="1:33" x14ac:dyDescent="0.25">
      <c r="A161">
        <v>1</v>
      </c>
      <c r="B161">
        <v>3</v>
      </c>
      <c r="C161" t="s">
        <v>112</v>
      </c>
      <c r="D161" t="s">
        <v>113</v>
      </c>
      <c r="E161" t="s">
        <v>81</v>
      </c>
      <c r="F161" t="e" cm="1">
        <f t="array" ref="F161">+ Hybrid context</f>
        <v>#NAME?</v>
      </c>
      <c r="G161" t="s">
        <v>274</v>
      </c>
      <c r="H161">
        <v>0.5</v>
      </c>
      <c r="I161">
        <v>0.3</v>
      </c>
      <c r="J161">
        <v>0.2</v>
      </c>
      <c r="K161">
        <v>10</v>
      </c>
      <c r="L161" t="s">
        <v>169</v>
      </c>
      <c r="M161" t="s">
        <v>170</v>
      </c>
      <c r="N161" t="s">
        <v>117</v>
      </c>
      <c r="O161" t="s">
        <v>171</v>
      </c>
      <c r="P161" t="s">
        <v>285</v>
      </c>
      <c r="Q161" t="b">
        <v>0</v>
      </c>
      <c r="R161">
        <v>0.92</v>
      </c>
      <c r="S161">
        <v>5.3440000000000003</v>
      </c>
      <c r="T161">
        <v>2.298</v>
      </c>
      <c r="U161">
        <v>0</v>
      </c>
      <c r="V161">
        <v>23</v>
      </c>
      <c r="W161">
        <v>20</v>
      </c>
      <c r="X161">
        <v>0.55290700000000004</v>
      </c>
      <c r="Y161" t="b">
        <v>1</v>
      </c>
      <c r="Z161" t="b">
        <v>0</v>
      </c>
      <c r="AA161" t="b">
        <v>0</v>
      </c>
      <c r="AB161" t="b">
        <v>0</v>
      </c>
      <c r="AC161" t="s">
        <v>244</v>
      </c>
      <c r="AD161" s="1" t="s">
        <v>286</v>
      </c>
      <c r="AE161" s="1" t="s">
        <v>286</v>
      </c>
      <c r="AF161" t="s">
        <v>117</v>
      </c>
      <c r="AG161" t="s">
        <v>285</v>
      </c>
    </row>
    <row r="162" spans="1:33" x14ac:dyDescent="0.25">
      <c r="A162">
        <v>2</v>
      </c>
      <c r="B162">
        <v>3</v>
      </c>
      <c r="C162" t="s">
        <v>112</v>
      </c>
      <c r="D162" t="s">
        <v>113</v>
      </c>
      <c r="E162" t="s">
        <v>81</v>
      </c>
      <c r="F162" t="e" cm="1">
        <f t="array" ref="F162">+ Hybrid context</f>
        <v>#NAME?</v>
      </c>
      <c r="G162" t="s">
        <v>274</v>
      </c>
      <c r="H162">
        <v>0.5</v>
      </c>
      <c r="I162">
        <v>0.3</v>
      </c>
      <c r="J162">
        <v>0.2</v>
      </c>
      <c r="K162">
        <v>1</v>
      </c>
      <c r="L162" t="s">
        <v>115</v>
      </c>
      <c r="M162" t="s">
        <v>116</v>
      </c>
      <c r="N162" t="s">
        <v>117</v>
      </c>
      <c r="O162" t="s">
        <v>118</v>
      </c>
      <c r="P162" t="s">
        <v>117</v>
      </c>
      <c r="Q162" t="b">
        <v>1</v>
      </c>
      <c r="R162">
        <v>0.75744699999999998</v>
      </c>
      <c r="S162">
        <v>5.242</v>
      </c>
      <c r="T162">
        <v>2.3820000000000001</v>
      </c>
      <c r="U162">
        <v>0</v>
      </c>
      <c r="V162">
        <v>27</v>
      </c>
      <c r="W162">
        <v>20</v>
      </c>
      <c r="X162">
        <v>0.59270599999999996</v>
      </c>
      <c r="Y162" t="b">
        <v>1</v>
      </c>
      <c r="Z162" t="b">
        <v>0</v>
      </c>
      <c r="AA162" t="b">
        <v>0</v>
      </c>
      <c r="AB162" t="b">
        <v>0</v>
      </c>
      <c r="AC162" t="s">
        <v>232</v>
      </c>
      <c r="AD162" s="1" t="s">
        <v>287</v>
      </c>
      <c r="AE162" s="1" t="s">
        <v>287</v>
      </c>
      <c r="AF162" t="s">
        <v>117</v>
      </c>
      <c r="AG162" t="s">
        <v>117</v>
      </c>
    </row>
    <row r="163" spans="1:33" x14ac:dyDescent="0.25">
      <c r="A163">
        <v>2</v>
      </c>
      <c r="B163">
        <v>3</v>
      </c>
      <c r="C163" t="s">
        <v>112</v>
      </c>
      <c r="D163" t="s">
        <v>113</v>
      </c>
      <c r="E163" t="s">
        <v>81</v>
      </c>
      <c r="F163" t="e" cm="1">
        <f t="array" ref="F163">+ Hybrid context</f>
        <v>#NAME?</v>
      </c>
      <c r="G163" t="s">
        <v>274</v>
      </c>
      <c r="H163">
        <v>0.5</v>
      </c>
      <c r="I163">
        <v>0.3</v>
      </c>
      <c r="J163">
        <v>0.2</v>
      </c>
      <c r="K163">
        <v>2</v>
      </c>
      <c r="L163" t="s">
        <v>121</v>
      </c>
      <c r="M163" t="s">
        <v>122</v>
      </c>
      <c r="N163" t="s">
        <v>123</v>
      </c>
      <c r="O163" t="s">
        <v>124</v>
      </c>
      <c r="P163" t="s">
        <v>125</v>
      </c>
      <c r="Q163" t="b">
        <v>0</v>
      </c>
      <c r="R163">
        <v>0.73483600000000004</v>
      </c>
      <c r="S163">
        <v>6.6879999999999997</v>
      </c>
      <c r="T163">
        <v>3.081</v>
      </c>
      <c r="U163">
        <v>0</v>
      </c>
      <c r="V163">
        <v>16</v>
      </c>
      <c r="W163">
        <v>16</v>
      </c>
      <c r="X163">
        <v>0.52810199999999996</v>
      </c>
      <c r="Y163" t="b">
        <v>1</v>
      </c>
      <c r="Z163" t="b">
        <v>0</v>
      </c>
      <c r="AA163" t="b">
        <v>0</v>
      </c>
      <c r="AB163" t="b">
        <v>0</v>
      </c>
      <c r="AC163" t="s">
        <v>126</v>
      </c>
      <c r="AD163" s="1" t="s">
        <v>288</v>
      </c>
      <c r="AE163" s="1" t="s">
        <v>288</v>
      </c>
      <c r="AF163" t="s">
        <v>123</v>
      </c>
      <c r="AG163" t="s">
        <v>125</v>
      </c>
    </row>
    <row r="164" spans="1:33" x14ac:dyDescent="0.25">
      <c r="A164">
        <v>2</v>
      </c>
      <c r="B164">
        <v>3</v>
      </c>
      <c r="C164" t="s">
        <v>112</v>
      </c>
      <c r="D164" t="s">
        <v>113</v>
      </c>
      <c r="E164" t="s">
        <v>81</v>
      </c>
      <c r="F164" t="e" cm="1">
        <f t="array" ref="F164">+ Hybrid context</f>
        <v>#NAME?</v>
      </c>
      <c r="G164" t="s">
        <v>274</v>
      </c>
      <c r="H164">
        <v>0.5</v>
      </c>
      <c r="I164">
        <v>0.3</v>
      </c>
      <c r="J164">
        <v>0.2</v>
      </c>
      <c r="K164">
        <v>3</v>
      </c>
      <c r="L164" t="s">
        <v>128</v>
      </c>
      <c r="M164" t="s">
        <v>129</v>
      </c>
      <c r="N164" t="s">
        <v>117</v>
      </c>
      <c r="O164" t="s">
        <v>130</v>
      </c>
      <c r="P164" t="s">
        <v>131</v>
      </c>
      <c r="Q164" t="b">
        <v>0</v>
      </c>
      <c r="R164">
        <v>0.73705100000000001</v>
      </c>
      <c r="S164">
        <v>5.1509999999999998</v>
      </c>
      <c r="T164">
        <v>2.7650000000000001</v>
      </c>
      <c r="U164">
        <v>0</v>
      </c>
      <c r="V164">
        <v>17</v>
      </c>
      <c r="W164">
        <v>17</v>
      </c>
      <c r="X164">
        <v>0.53443200000000002</v>
      </c>
      <c r="Y164" t="b">
        <v>1</v>
      </c>
      <c r="Z164" t="b">
        <v>0</v>
      </c>
      <c r="AA164" t="b">
        <v>0</v>
      </c>
      <c r="AB164" t="b">
        <v>0</v>
      </c>
      <c r="AC164" t="s">
        <v>132</v>
      </c>
      <c r="AD164" s="1" t="s">
        <v>277</v>
      </c>
      <c r="AE164" s="1" t="s">
        <v>277</v>
      </c>
      <c r="AF164" t="s">
        <v>117</v>
      </c>
      <c r="AG164" t="s">
        <v>131</v>
      </c>
    </row>
    <row r="165" spans="1:33" x14ac:dyDescent="0.25">
      <c r="A165">
        <v>2</v>
      </c>
      <c r="B165">
        <v>3</v>
      </c>
      <c r="C165" t="s">
        <v>112</v>
      </c>
      <c r="D165" t="s">
        <v>113</v>
      </c>
      <c r="E165" t="s">
        <v>81</v>
      </c>
      <c r="F165" t="e" cm="1">
        <f t="array" ref="F165">+ Hybrid context</f>
        <v>#NAME?</v>
      </c>
      <c r="G165" t="s">
        <v>274</v>
      </c>
      <c r="H165">
        <v>0.5</v>
      </c>
      <c r="I165">
        <v>0.3</v>
      </c>
      <c r="J165">
        <v>0.2</v>
      </c>
      <c r="K165">
        <v>4</v>
      </c>
      <c r="L165" t="s">
        <v>134</v>
      </c>
      <c r="M165" t="s">
        <v>135</v>
      </c>
      <c r="N165" t="s">
        <v>117</v>
      </c>
      <c r="O165" t="s">
        <v>136</v>
      </c>
      <c r="P165" t="s">
        <v>125</v>
      </c>
      <c r="Q165" t="b">
        <v>0</v>
      </c>
      <c r="R165">
        <v>0.74739599999999995</v>
      </c>
      <c r="S165">
        <v>5.7869999999999999</v>
      </c>
      <c r="T165">
        <v>2.5299999999999998</v>
      </c>
      <c r="U165">
        <v>0</v>
      </c>
      <c r="V165">
        <v>22</v>
      </c>
      <c r="W165">
        <v>20</v>
      </c>
      <c r="X165">
        <v>0.56398999999999999</v>
      </c>
      <c r="Y165" t="b">
        <v>1</v>
      </c>
      <c r="Z165" t="b">
        <v>0</v>
      </c>
      <c r="AA165" t="b">
        <v>0</v>
      </c>
      <c r="AB165" t="b">
        <v>0</v>
      </c>
      <c r="AC165" t="s">
        <v>235</v>
      </c>
      <c r="AD165" s="1" t="s">
        <v>289</v>
      </c>
      <c r="AE165" s="1" t="s">
        <v>289</v>
      </c>
      <c r="AF165" t="s">
        <v>117</v>
      </c>
      <c r="AG165" t="s">
        <v>125</v>
      </c>
    </row>
    <row r="166" spans="1:33" x14ac:dyDescent="0.25">
      <c r="A166">
        <v>2</v>
      </c>
      <c r="B166">
        <v>3</v>
      </c>
      <c r="C166" t="s">
        <v>112</v>
      </c>
      <c r="D166" t="s">
        <v>113</v>
      </c>
      <c r="E166" t="s">
        <v>81</v>
      </c>
      <c r="F166" t="e" cm="1">
        <f t="array" ref="F166">+ Hybrid context</f>
        <v>#NAME?</v>
      </c>
      <c r="G166" t="s">
        <v>274</v>
      </c>
      <c r="H166">
        <v>0.5</v>
      </c>
      <c r="I166">
        <v>0.3</v>
      </c>
      <c r="J166">
        <v>0.2</v>
      </c>
      <c r="K166">
        <v>5</v>
      </c>
      <c r="L166" t="s">
        <v>139</v>
      </c>
      <c r="M166" t="s">
        <v>140</v>
      </c>
      <c r="N166" t="s">
        <v>141</v>
      </c>
      <c r="O166" t="s">
        <v>142</v>
      </c>
      <c r="P166" t="s">
        <v>279</v>
      </c>
      <c r="Q166" t="b">
        <v>0</v>
      </c>
      <c r="R166">
        <v>0.74609700000000001</v>
      </c>
      <c r="S166">
        <v>5.33</v>
      </c>
      <c r="T166">
        <v>2.7269999999999999</v>
      </c>
      <c r="U166">
        <v>0</v>
      </c>
      <c r="V166">
        <v>19</v>
      </c>
      <c r="W166">
        <v>19</v>
      </c>
      <c r="X166">
        <v>0.56027800000000005</v>
      </c>
      <c r="Y166" t="b">
        <v>1</v>
      </c>
      <c r="Z166" t="b">
        <v>0</v>
      </c>
      <c r="AA166" t="b">
        <v>0</v>
      </c>
      <c r="AB166" t="b">
        <v>0</v>
      </c>
      <c r="AC166" t="s">
        <v>144</v>
      </c>
      <c r="AD166" s="1" t="s">
        <v>290</v>
      </c>
      <c r="AE166" s="1" t="s">
        <v>290</v>
      </c>
      <c r="AF166" t="s">
        <v>141</v>
      </c>
      <c r="AG166" t="s">
        <v>279</v>
      </c>
    </row>
    <row r="167" spans="1:33" x14ac:dyDescent="0.25">
      <c r="A167">
        <v>2</v>
      </c>
      <c r="B167">
        <v>3</v>
      </c>
      <c r="C167" t="s">
        <v>112</v>
      </c>
      <c r="D167" t="s">
        <v>113</v>
      </c>
      <c r="E167" t="s">
        <v>81</v>
      </c>
      <c r="F167" t="e" cm="1">
        <f t="array" ref="F167">+ Hybrid context</f>
        <v>#NAME?</v>
      </c>
      <c r="G167" t="s">
        <v>274</v>
      </c>
      <c r="H167">
        <v>0.5</v>
      </c>
      <c r="I167">
        <v>0.3</v>
      </c>
      <c r="J167">
        <v>0.2</v>
      </c>
      <c r="K167">
        <v>6</v>
      </c>
      <c r="L167" t="s">
        <v>146</v>
      </c>
      <c r="M167" t="s">
        <v>147</v>
      </c>
      <c r="N167" t="s">
        <v>141</v>
      </c>
      <c r="O167" t="s">
        <v>148</v>
      </c>
      <c r="P167" t="s">
        <v>123</v>
      </c>
      <c r="Q167" t="b">
        <v>0</v>
      </c>
      <c r="R167">
        <v>0.75448400000000004</v>
      </c>
      <c r="S167">
        <v>5.5979999999999999</v>
      </c>
      <c r="T167">
        <v>2.3140000000000001</v>
      </c>
      <c r="U167">
        <v>0</v>
      </c>
      <c r="V167">
        <v>27</v>
      </c>
      <c r="W167">
        <v>20</v>
      </c>
      <c r="X167">
        <v>0.58424100000000001</v>
      </c>
      <c r="Y167" t="b">
        <v>1</v>
      </c>
      <c r="Z167" t="b">
        <v>0</v>
      </c>
      <c r="AA167" t="b">
        <v>0</v>
      </c>
      <c r="AB167" t="b">
        <v>0</v>
      </c>
      <c r="AC167" t="s">
        <v>238</v>
      </c>
      <c r="AD167" s="1" t="s">
        <v>291</v>
      </c>
      <c r="AE167" s="1" t="s">
        <v>291</v>
      </c>
      <c r="AF167" t="s">
        <v>141</v>
      </c>
      <c r="AG167" t="s">
        <v>123</v>
      </c>
    </row>
    <row r="168" spans="1:33" x14ac:dyDescent="0.25">
      <c r="A168">
        <v>2</v>
      </c>
      <c r="B168">
        <v>3</v>
      </c>
      <c r="C168" t="s">
        <v>112</v>
      </c>
      <c r="D168" t="s">
        <v>113</v>
      </c>
      <c r="E168" t="s">
        <v>81</v>
      </c>
      <c r="F168" t="e" cm="1">
        <f t="array" ref="F168">+ Hybrid context</f>
        <v>#NAME?</v>
      </c>
      <c r="G168" t="s">
        <v>274</v>
      </c>
      <c r="H168">
        <v>0.5</v>
      </c>
      <c r="I168">
        <v>0.3</v>
      </c>
      <c r="J168">
        <v>0.2</v>
      </c>
      <c r="K168">
        <v>7</v>
      </c>
      <c r="L168" t="s">
        <v>151</v>
      </c>
      <c r="M168" t="s">
        <v>152</v>
      </c>
      <c r="N168" t="s">
        <v>117</v>
      </c>
      <c r="O168" t="s">
        <v>153</v>
      </c>
      <c r="P168" t="s">
        <v>154</v>
      </c>
      <c r="Q168" t="b">
        <v>0</v>
      </c>
      <c r="R168">
        <v>0.75763599999999998</v>
      </c>
      <c r="S168">
        <v>7.7640000000000002</v>
      </c>
      <c r="T168">
        <v>4.7290000000000001</v>
      </c>
      <c r="U168">
        <v>0</v>
      </c>
      <c r="V168">
        <v>30</v>
      </c>
      <c r="W168">
        <v>20</v>
      </c>
      <c r="X168">
        <v>0.59324500000000002</v>
      </c>
      <c r="Y168" t="b">
        <v>1</v>
      </c>
      <c r="Z168" t="b">
        <v>0</v>
      </c>
      <c r="AA168" t="b">
        <v>0</v>
      </c>
      <c r="AB168" t="b">
        <v>0</v>
      </c>
      <c r="AC168" t="s">
        <v>240</v>
      </c>
      <c r="AD168" s="1" t="s">
        <v>292</v>
      </c>
      <c r="AE168" s="1" t="s">
        <v>292</v>
      </c>
      <c r="AF168" t="s">
        <v>117</v>
      </c>
      <c r="AG168" t="s">
        <v>154</v>
      </c>
    </row>
    <row r="169" spans="1:33" x14ac:dyDescent="0.25">
      <c r="A169">
        <v>2</v>
      </c>
      <c r="B169">
        <v>3</v>
      </c>
      <c r="C169" t="s">
        <v>112</v>
      </c>
      <c r="D169" t="s">
        <v>113</v>
      </c>
      <c r="E169" t="s">
        <v>81</v>
      </c>
      <c r="F169" t="e" cm="1">
        <f t="array" ref="F169">+ Hybrid context</f>
        <v>#NAME?</v>
      </c>
      <c r="G169" t="s">
        <v>274</v>
      </c>
      <c r="H169">
        <v>0.5</v>
      </c>
      <c r="I169">
        <v>0.3</v>
      </c>
      <c r="J169">
        <v>0.2</v>
      </c>
      <c r="K169">
        <v>8</v>
      </c>
      <c r="L169" t="s">
        <v>157</v>
      </c>
      <c r="M169" t="s">
        <v>158</v>
      </c>
      <c r="N169" t="s">
        <v>159</v>
      </c>
      <c r="O169" t="s">
        <v>160</v>
      </c>
      <c r="P169" t="s">
        <v>161</v>
      </c>
      <c r="Q169" t="b">
        <v>0</v>
      </c>
      <c r="R169">
        <v>0.75232500000000002</v>
      </c>
      <c r="S169">
        <v>5.9969999999999999</v>
      </c>
      <c r="T169">
        <v>3.1520000000000001</v>
      </c>
      <c r="U169">
        <v>0</v>
      </c>
      <c r="V169">
        <v>10</v>
      </c>
      <c r="W169">
        <v>10</v>
      </c>
      <c r="X169">
        <v>0.578071</v>
      </c>
      <c r="Y169" t="b">
        <v>1</v>
      </c>
      <c r="Z169" t="b">
        <v>0</v>
      </c>
      <c r="AA169" t="b">
        <v>0</v>
      </c>
      <c r="AB169" t="b">
        <v>0</v>
      </c>
      <c r="AC169" t="s">
        <v>162</v>
      </c>
      <c r="AD169" s="1" t="s">
        <v>293</v>
      </c>
      <c r="AE169" s="1" t="s">
        <v>293</v>
      </c>
      <c r="AF169" t="s">
        <v>159</v>
      </c>
      <c r="AG169" t="s">
        <v>161</v>
      </c>
    </row>
    <row r="170" spans="1:33" x14ac:dyDescent="0.25">
      <c r="A170">
        <v>2</v>
      </c>
      <c r="B170">
        <v>3</v>
      </c>
      <c r="C170" t="s">
        <v>112</v>
      </c>
      <c r="D170" t="s">
        <v>113</v>
      </c>
      <c r="E170" t="s">
        <v>81</v>
      </c>
      <c r="F170" t="e" cm="1">
        <f t="array" ref="F170">+ Hybrid context</f>
        <v>#NAME?</v>
      </c>
      <c r="G170" t="s">
        <v>274</v>
      </c>
      <c r="H170">
        <v>0.5</v>
      </c>
      <c r="I170">
        <v>0.3</v>
      </c>
      <c r="J170">
        <v>0.2</v>
      </c>
      <c r="K170">
        <v>9</v>
      </c>
      <c r="L170" t="s">
        <v>164</v>
      </c>
      <c r="M170" t="s">
        <v>165</v>
      </c>
      <c r="N170" t="s">
        <v>117</v>
      </c>
      <c r="O170" t="s">
        <v>166</v>
      </c>
      <c r="P170" t="s">
        <v>161</v>
      </c>
      <c r="Q170" t="b">
        <v>0</v>
      </c>
      <c r="R170">
        <v>0.73730600000000002</v>
      </c>
      <c r="S170">
        <v>5.5430000000000001</v>
      </c>
      <c r="T170">
        <v>2.5939999999999999</v>
      </c>
      <c r="U170">
        <v>0</v>
      </c>
      <c r="V170">
        <v>12</v>
      </c>
      <c r="W170">
        <v>12</v>
      </c>
      <c r="X170">
        <v>0.53515900000000005</v>
      </c>
      <c r="Y170" t="b">
        <v>1</v>
      </c>
      <c r="Z170" t="b">
        <v>0</v>
      </c>
      <c r="AA170" t="b">
        <v>0</v>
      </c>
      <c r="AB170" t="b">
        <v>0</v>
      </c>
      <c r="AC170" t="s">
        <v>167</v>
      </c>
      <c r="AD170" s="1" t="s">
        <v>294</v>
      </c>
      <c r="AE170" s="1" t="s">
        <v>294</v>
      </c>
      <c r="AF170" t="s">
        <v>117</v>
      </c>
      <c r="AG170" t="s">
        <v>161</v>
      </c>
    </row>
    <row r="171" spans="1:33" x14ac:dyDescent="0.25">
      <c r="A171">
        <v>2</v>
      </c>
      <c r="B171">
        <v>3</v>
      </c>
      <c r="C171" t="s">
        <v>112</v>
      </c>
      <c r="D171" t="s">
        <v>113</v>
      </c>
      <c r="E171" t="s">
        <v>81</v>
      </c>
      <c r="F171" t="e" cm="1">
        <f t="array" ref="F171">+ Hybrid context</f>
        <v>#NAME?</v>
      </c>
      <c r="G171" t="s">
        <v>274</v>
      </c>
      <c r="H171">
        <v>0.5</v>
      </c>
      <c r="I171">
        <v>0.3</v>
      </c>
      <c r="J171">
        <v>0.2</v>
      </c>
      <c r="K171">
        <v>10</v>
      </c>
      <c r="L171" t="s">
        <v>169</v>
      </c>
      <c r="M171" t="s">
        <v>170</v>
      </c>
      <c r="N171" t="s">
        <v>117</v>
      </c>
      <c r="O171" t="s">
        <v>171</v>
      </c>
      <c r="P171" t="s">
        <v>161</v>
      </c>
      <c r="Q171" t="b">
        <v>0</v>
      </c>
      <c r="R171">
        <v>0.74351800000000001</v>
      </c>
      <c r="S171">
        <v>4.7409999999999997</v>
      </c>
      <c r="T171">
        <v>2.359</v>
      </c>
      <c r="U171">
        <v>0</v>
      </c>
      <c r="V171">
        <v>23</v>
      </c>
      <c r="W171">
        <v>20</v>
      </c>
      <c r="X171">
        <v>0.55290899999999998</v>
      </c>
      <c r="Y171" t="b">
        <v>1</v>
      </c>
      <c r="Z171" t="b">
        <v>0</v>
      </c>
      <c r="AA171" t="b">
        <v>0</v>
      </c>
      <c r="AB171" t="b">
        <v>0</v>
      </c>
      <c r="AC171" t="s">
        <v>244</v>
      </c>
      <c r="AD171" s="1" t="s">
        <v>295</v>
      </c>
      <c r="AE171" s="1" t="s">
        <v>295</v>
      </c>
      <c r="AF171" t="s">
        <v>117</v>
      </c>
      <c r="AG171" t="s">
        <v>161</v>
      </c>
    </row>
    <row r="172" spans="1:33" x14ac:dyDescent="0.25">
      <c r="A172">
        <v>3</v>
      </c>
      <c r="B172">
        <v>3</v>
      </c>
      <c r="C172" t="s">
        <v>112</v>
      </c>
      <c r="D172" t="s">
        <v>113</v>
      </c>
      <c r="E172" t="s">
        <v>81</v>
      </c>
      <c r="F172" t="e" cm="1">
        <f t="array" ref="F172">+ Hybrid context</f>
        <v>#NAME?</v>
      </c>
      <c r="G172" t="s">
        <v>274</v>
      </c>
      <c r="H172">
        <v>0.5</v>
      </c>
      <c r="I172">
        <v>0.3</v>
      </c>
      <c r="J172">
        <v>0.2</v>
      </c>
      <c r="K172">
        <v>1</v>
      </c>
      <c r="L172" t="s">
        <v>115</v>
      </c>
      <c r="M172" t="s">
        <v>116</v>
      </c>
      <c r="N172" t="s">
        <v>117</v>
      </c>
      <c r="O172" t="s">
        <v>118</v>
      </c>
      <c r="P172" t="s">
        <v>117</v>
      </c>
      <c r="Q172" t="b">
        <v>1</v>
      </c>
      <c r="R172">
        <v>0.75744900000000004</v>
      </c>
      <c r="S172">
        <v>5.5430000000000001</v>
      </c>
      <c r="T172">
        <v>2.4769999999999999</v>
      </c>
      <c r="U172">
        <v>0</v>
      </c>
      <c r="V172">
        <v>27</v>
      </c>
      <c r="W172">
        <v>20</v>
      </c>
      <c r="X172">
        <v>0.59271099999999999</v>
      </c>
      <c r="Y172" t="b">
        <v>1</v>
      </c>
      <c r="Z172" t="b">
        <v>0</v>
      </c>
      <c r="AA172" t="b">
        <v>0</v>
      </c>
      <c r="AB172" t="b">
        <v>0</v>
      </c>
      <c r="AC172" t="s">
        <v>232</v>
      </c>
      <c r="AD172" s="1" t="s">
        <v>296</v>
      </c>
      <c r="AE172" s="1" t="s">
        <v>296</v>
      </c>
      <c r="AF172" t="s">
        <v>117</v>
      </c>
      <c r="AG172" t="s">
        <v>117</v>
      </c>
    </row>
    <row r="173" spans="1:33" x14ac:dyDescent="0.25">
      <c r="A173">
        <v>3</v>
      </c>
      <c r="B173">
        <v>3</v>
      </c>
      <c r="C173" t="s">
        <v>112</v>
      </c>
      <c r="D173" t="s">
        <v>113</v>
      </c>
      <c r="E173" t="s">
        <v>81</v>
      </c>
      <c r="F173" t="e" cm="1">
        <f t="array" ref="F173">+ Hybrid context</f>
        <v>#NAME?</v>
      </c>
      <c r="G173" t="s">
        <v>274</v>
      </c>
      <c r="H173">
        <v>0.5</v>
      </c>
      <c r="I173">
        <v>0.3</v>
      </c>
      <c r="J173">
        <v>0.2</v>
      </c>
      <c r="K173">
        <v>2</v>
      </c>
      <c r="L173" t="s">
        <v>121</v>
      </c>
      <c r="M173" t="s">
        <v>122</v>
      </c>
      <c r="N173" t="s">
        <v>123</v>
      </c>
      <c r="O173" t="s">
        <v>124</v>
      </c>
      <c r="P173" t="s">
        <v>125</v>
      </c>
      <c r="Q173" t="b">
        <v>0</v>
      </c>
      <c r="R173">
        <v>0.73483600000000004</v>
      </c>
      <c r="S173">
        <v>5.702</v>
      </c>
      <c r="T173">
        <v>2.4649999999999999</v>
      </c>
      <c r="U173">
        <v>0</v>
      </c>
      <c r="V173">
        <v>16</v>
      </c>
      <c r="W173">
        <v>16</v>
      </c>
      <c r="X173">
        <v>0.52810199999999996</v>
      </c>
      <c r="Y173" t="b">
        <v>1</v>
      </c>
      <c r="Z173" t="b">
        <v>0</v>
      </c>
      <c r="AA173" t="b">
        <v>0</v>
      </c>
      <c r="AB173" t="b">
        <v>0</v>
      </c>
      <c r="AC173" t="s">
        <v>126</v>
      </c>
      <c r="AD173" s="1" t="s">
        <v>297</v>
      </c>
      <c r="AE173" s="1" t="s">
        <v>297</v>
      </c>
      <c r="AF173" t="s">
        <v>123</v>
      </c>
      <c r="AG173" t="s">
        <v>125</v>
      </c>
    </row>
    <row r="174" spans="1:33" x14ac:dyDescent="0.25">
      <c r="A174">
        <v>3</v>
      </c>
      <c r="B174">
        <v>3</v>
      </c>
      <c r="C174" t="s">
        <v>112</v>
      </c>
      <c r="D174" t="s">
        <v>113</v>
      </c>
      <c r="E174" t="s">
        <v>81</v>
      </c>
      <c r="F174" t="e" cm="1">
        <f t="array" ref="F174">+ Hybrid context</f>
        <v>#NAME?</v>
      </c>
      <c r="G174" t="s">
        <v>274</v>
      </c>
      <c r="H174">
        <v>0.5</v>
      </c>
      <c r="I174">
        <v>0.3</v>
      </c>
      <c r="J174">
        <v>0.2</v>
      </c>
      <c r="K174">
        <v>3</v>
      </c>
      <c r="L174" t="s">
        <v>128</v>
      </c>
      <c r="M174" t="s">
        <v>129</v>
      </c>
      <c r="N174" t="s">
        <v>117</v>
      </c>
      <c r="O174" t="s">
        <v>130</v>
      </c>
      <c r="P174" t="s">
        <v>131</v>
      </c>
      <c r="Q174" t="b">
        <v>0</v>
      </c>
      <c r="R174">
        <v>0.73704999999999998</v>
      </c>
      <c r="S174">
        <v>4.66</v>
      </c>
      <c r="T174">
        <v>2.3439999999999999</v>
      </c>
      <c r="U174">
        <v>0</v>
      </c>
      <c r="V174">
        <v>17</v>
      </c>
      <c r="W174">
        <v>17</v>
      </c>
      <c r="X174">
        <v>0.53442900000000004</v>
      </c>
      <c r="Y174" t="b">
        <v>1</v>
      </c>
      <c r="Z174" t="b">
        <v>0</v>
      </c>
      <c r="AA174" t="b">
        <v>0</v>
      </c>
      <c r="AB174" t="b">
        <v>0</v>
      </c>
      <c r="AC174" t="s">
        <v>132</v>
      </c>
      <c r="AD174" s="1" t="s">
        <v>277</v>
      </c>
      <c r="AE174" s="1" t="s">
        <v>277</v>
      </c>
      <c r="AF174" t="s">
        <v>117</v>
      </c>
      <c r="AG174" t="s">
        <v>131</v>
      </c>
    </row>
    <row r="175" spans="1:33" x14ac:dyDescent="0.25">
      <c r="A175">
        <v>3</v>
      </c>
      <c r="B175">
        <v>3</v>
      </c>
      <c r="C175" t="s">
        <v>112</v>
      </c>
      <c r="D175" t="s">
        <v>113</v>
      </c>
      <c r="E175" t="s">
        <v>81</v>
      </c>
      <c r="F175" t="e" cm="1">
        <f t="array" ref="F175">+ Hybrid context</f>
        <v>#NAME?</v>
      </c>
      <c r="G175" t="s">
        <v>274</v>
      </c>
      <c r="H175">
        <v>0.5</v>
      </c>
      <c r="I175">
        <v>0.3</v>
      </c>
      <c r="J175">
        <v>0.2</v>
      </c>
      <c r="K175">
        <v>4</v>
      </c>
      <c r="L175" t="s">
        <v>134</v>
      </c>
      <c r="M175" t="s">
        <v>135</v>
      </c>
      <c r="N175" t="s">
        <v>117</v>
      </c>
      <c r="O175" t="s">
        <v>136</v>
      </c>
      <c r="P175" t="s">
        <v>125</v>
      </c>
      <c r="Q175" t="b">
        <v>0</v>
      </c>
      <c r="R175">
        <v>0.74739699999999998</v>
      </c>
      <c r="S175">
        <v>6.9740000000000002</v>
      </c>
      <c r="T175">
        <v>2.5369999999999999</v>
      </c>
      <c r="U175">
        <v>0</v>
      </c>
      <c r="V175">
        <v>22</v>
      </c>
      <c r="W175">
        <v>20</v>
      </c>
      <c r="X175">
        <v>0.56399100000000002</v>
      </c>
      <c r="Y175" t="b">
        <v>1</v>
      </c>
      <c r="Z175" t="b">
        <v>0</v>
      </c>
      <c r="AA175" t="b">
        <v>0</v>
      </c>
      <c r="AB175" t="b">
        <v>0</v>
      </c>
      <c r="AC175" t="s">
        <v>235</v>
      </c>
      <c r="AD175" s="1" t="s">
        <v>298</v>
      </c>
      <c r="AE175" s="1" t="s">
        <v>298</v>
      </c>
      <c r="AF175" t="s">
        <v>117</v>
      </c>
      <c r="AG175" t="s">
        <v>125</v>
      </c>
    </row>
    <row r="176" spans="1:33" x14ac:dyDescent="0.25">
      <c r="A176">
        <v>3</v>
      </c>
      <c r="B176">
        <v>3</v>
      </c>
      <c r="C176" t="s">
        <v>112</v>
      </c>
      <c r="D176" t="s">
        <v>113</v>
      </c>
      <c r="E176" t="s">
        <v>81</v>
      </c>
      <c r="F176" t="e" cm="1">
        <f t="array" ref="F176">+ Hybrid context</f>
        <v>#NAME?</v>
      </c>
      <c r="G176" t="s">
        <v>274</v>
      </c>
      <c r="H176">
        <v>0.5</v>
      </c>
      <c r="I176">
        <v>0.3</v>
      </c>
      <c r="J176">
        <v>0.2</v>
      </c>
      <c r="K176">
        <v>5</v>
      </c>
      <c r="L176" t="s">
        <v>139</v>
      </c>
      <c r="M176" t="s">
        <v>140</v>
      </c>
      <c r="N176" t="s">
        <v>141</v>
      </c>
      <c r="O176" t="s">
        <v>142</v>
      </c>
      <c r="P176" t="s">
        <v>279</v>
      </c>
      <c r="Q176" t="b">
        <v>0</v>
      </c>
      <c r="R176">
        <v>0.74609499999999995</v>
      </c>
      <c r="S176">
        <v>5.0110000000000001</v>
      </c>
      <c r="T176">
        <v>2.4350000000000001</v>
      </c>
      <c r="U176">
        <v>0</v>
      </c>
      <c r="V176">
        <v>19</v>
      </c>
      <c r="W176">
        <v>19</v>
      </c>
      <c r="X176">
        <v>0.56027300000000002</v>
      </c>
      <c r="Y176" t="b">
        <v>1</v>
      </c>
      <c r="Z176" t="b">
        <v>0</v>
      </c>
      <c r="AA176" t="b">
        <v>0</v>
      </c>
      <c r="AB176" t="b">
        <v>0</v>
      </c>
      <c r="AC176" t="s">
        <v>144</v>
      </c>
      <c r="AD176" s="1" t="s">
        <v>299</v>
      </c>
      <c r="AE176" s="1" t="s">
        <v>299</v>
      </c>
      <c r="AF176" t="s">
        <v>141</v>
      </c>
      <c r="AG176" t="s">
        <v>279</v>
      </c>
    </row>
    <row r="177" spans="1:33" x14ac:dyDescent="0.25">
      <c r="A177">
        <v>3</v>
      </c>
      <c r="B177">
        <v>3</v>
      </c>
      <c r="C177" t="s">
        <v>112</v>
      </c>
      <c r="D177" t="s">
        <v>113</v>
      </c>
      <c r="E177" t="s">
        <v>81</v>
      </c>
      <c r="F177" t="e" cm="1">
        <f t="array" ref="F177">+ Hybrid context</f>
        <v>#NAME?</v>
      </c>
      <c r="G177" t="s">
        <v>274</v>
      </c>
      <c r="H177">
        <v>0.5</v>
      </c>
      <c r="I177">
        <v>0.3</v>
      </c>
      <c r="J177">
        <v>0.2</v>
      </c>
      <c r="K177">
        <v>6</v>
      </c>
      <c r="L177" t="s">
        <v>146</v>
      </c>
      <c r="M177" t="s">
        <v>147</v>
      </c>
      <c r="N177" t="s">
        <v>141</v>
      </c>
      <c r="O177" t="s">
        <v>148</v>
      </c>
      <c r="P177" t="s">
        <v>123</v>
      </c>
      <c r="Q177" t="b">
        <v>0</v>
      </c>
      <c r="R177">
        <v>0.754498</v>
      </c>
      <c r="S177">
        <v>4.8659999999999997</v>
      </c>
      <c r="T177">
        <v>2.5</v>
      </c>
      <c r="U177">
        <v>0</v>
      </c>
      <c r="V177">
        <v>27</v>
      </c>
      <c r="W177">
        <v>20</v>
      </c>
      <c r="X177">
        <v>0.58428000000000002</v>
      </c>
      <c r="Y177" t="b">
        <v>1</v>
      </c>
      <c r="Z177" t="b">
        <v>0</v>
      </c>
      <c r="AA177" t="b">
        <v>0</v>
      </c>
      <c r="AB177" t="b">
        <v>0</v>
      </c>
      <c r="AC177" t="s">
        <v>238</v>
      </c>
      <c r="AD177" s="1" t="s">
        <v>300</v>
      </c>
      <c r="AE177" s="1" t="s">
        <v>300</v>
      </c>
      <c r="AF177" t="s">
        <v>141</v>
      </c>
      <c r="AG177" t="s">
        <v>123</v>
      </c>
    </row>
    <row r="178" spans="1:33" x14ac:dyDescent="0.25">
      <c r="A178">
        <v>3</v>
      </c>
      <c r="B178">
        <v>3</v>
      </c>
      <c r="C178" t="s">
        <v>112</v>
      </c>
      <c r="D178" t="s">
        <v>113</v>
      </c>
      <c r="E178" t="s">
        <v>81</v>
      </c>
      <c r="F178" t="e" cm="1">
        <f t="array" ref="F178">+ Hybrid context</f>
        <v>#NAME?</v>
      </c>
      <c r="G178" t="s">
        <v>274</v>
      </c>
      <c r="H178">
        <v>0.5</v>
      </c>
      <c r="I178">
        <v>0.3</v>
      </c>
      <c r="J178">
        <v>0.2</v>
      </c>
      <c r="K178">
        <v>7</v>
      </c>
      <c r="L178" t="s">
        <v>151</v>
      </c>
      <c r="M178" t="s">
        <v>152</v>
      </c>
      <c r="N178" t="s">
        <v>117</v>
      </c>
      <c r="O178" t="s">
        <v>153</v>
      </c>
      <c r="P178" t="s">
        <v>154</v>
      </c>
      <c r="Q178" t="b">
        <v>0</v>
      </c>
      <c r="R178">
        <v>0.75763599999999998</v>
      </c>
      <c r="S178">
        <v>5.1849999999999996</v>
      </c>
      <c r="T178">
        <v>2.6139999999999999</v>
      </c>
      <c r="U178">
        <v>0</v>
      </c>
      <c r="V178">
        <v>30</v>
      </c>
      <c r="W178">
        <v>20</v>
      </c>
      <c r="X178">
        <v>0.59324699999999997</v>
      </c>
      <c r="Y178" t="b">
        <v>1</v>
      </c>
      <c r="Z178" t="b">
        <v>0</v>
      </c>
      <c r="AA178" t="b">
        <v>0</v>
      </c>
      <c r="AB178" t="b">
        <v>0</v>
      </c>
      <c r="AC178" t="s">
        <v>240</v>
      </c>
      <c r="AD178" s="1" t="s">
        <v>301</v>
      </c>
      <c r="AE178" s="1" t="s">
        <v>301</v>
      </c>
      <c r="AF178" t="s">
        <v>117</v>
      </c>
      <c r="AG178" t="s">
        <v>154</v>
      </c>
    </row>
    <row r="179" spans="1:33" x14ac:dyDescent="0.25">
      <c r="A179">
        <v>3</v>
      </c>
      <c r="B179">
        <v>3</v>
      </c>
      <c r="C179" t="s">
        <v>112</v>
      </c>
      <c r="D179" t="s">
        <v>113</v>
      </c>
      <c r="E179" t="s">
        <v>81</v>
      </c>
      <c r="F179" t="e" cm="1">
        <f t="array" ref="F179">+ Hybrid context</f>
        <v>#NAME?</v>
      </c>
      <c r="G179" t="s">
        <v>274</v>
      </c>
      <c r="H179">
        <v>0.5</v>
      </c>
      <c r="I179">
        <v>0.3</v>
      </c>
      <c r="J179">
        <v>0.2</v>
      </c>
      <c r="K179">
        <v>8</v>
      </c>
      <c r="L179" t="s">
        <v>157</v>
      </c>
      <c r="M179" t="s">
        <v>158</v>
      </c>
      <c r="N179" t="s">
        <v>159</v>
      </c>
      <c r="O179" t="s">
        <v>160</v>
      </c>
      <c r="P179" t="s">
        <v>161</v>
      </c>
      <c r="Q179" t="b">
        <v>0</v>
      </c>
      <c r="R179">
        <v>0.75232600000000005</v>
      </c>
      <c r="S179">
        <v>6.931</v>
      </c>
      <c r="T179">
        <v>4.4189999999999996</v>
      </c>
      <c r="U179">
        <v>0</v>
      </c>
      <c r="V179">
        <v>10</v>
      </c>
      <c r="W179">
        <v>10</v>
      </c>
      <c r="X179">
        <v>0.57807399999999998</v>
      </c>
      <c r="Y179" t="b">
        <v>1</v>
      </c>
      <c r="Z179" t="b">
        <v>0</v>
      </c>
      <c r="AA179" t="b">
        <v>0</v>
      </c>
      <c r="AB179" t="b">
        <v>0</v>
      </c>
      <c r="AC179" t="s">
        <v>162</v>
      </c>
      <c r="AD179" s="1" t="s">
        <v>302</v>
      </c>
      <c r="AE179" s="1" t="s">
        <v>302</v>
      </c>
      <c r="AF179" t="s">
        <v>159</v>
      </c>
      <c r="AG179" t="s">
        <v>161</v>
      </c>
    </row>
    <row r="180" spans="1:33" x14ac:dyDescent="0.25">
      <c r="A180">
        <v>3</v>
      </c>
      <c r="B180">
        <v>3</v>
      </c>
      <c r="C180" t="s">
        <v>112</v>
      </c>
      <c r="D180" t="s">
        <v>113</v>
      </c>
      <c r="E180" t="s">
        <v>81</v>
      </c>
      <c r="F180" t="e" cm="1">
        <f t="array" ref="F180">+ Hybrid context</f>
        <v>#NAME?</v>
      </c>
      <c r="G180" t="s">
        <v>274</v>
      </c>
      <c r="H180">
        <v>0.5</v>
      </c>
      <c r="I180">
        <v>0.3</v>
      </c>
      <c r="J180">
        <v>0.2</v>
      </c>
      <c r="K180">
        <v>9</v>
      </c>
      <c r="L180" t="s">
        <v>164</v>
      </c>
      <c r="M180" t="s">
        <v>165</v>
      </c>
      <c r="N180" t="s">
        <v>117</v>
      </c>
      <c r="O180" t="s">
        <v>166</v>
      </c>
      <c r="P180" t="s">
        <v>161</v>
      </c>
      <c r="Q180" t="b">
        <v>0</v>
      </c>
      <c r="R180">
        <v>0.73730600000000002</v>
      </c>
      <c r="S180">
        <v>5.4039999999999999</v>
      </c>
      <c r="T180">
        <v>2.3109999999999999</v>
      </c>
      <c r="U180">
        <v>0</v>
      </c>
      <c r="V180">
        <v>12</v>
      </c>
      <c r="W180">
        <v>12</v>
      </c>
      <c r="X180">
        <v>0.53515900000000005</v>
      </c>
      <c r="Y180" t="b">
        <v>1</v>
      </c>
      <c r="Z180" t="b">
        <v>0</v>
      </c>
      <c r="AA180" t="b">
        <v>0</v>
      </c>
      <c r="AB180" t="b">
        <v>0</v>
      </c>
      <c r="AC180" t="s">
        <v>167</v>
      </c>
      <c r="AD180" s="1" t="s">
        <v>303</v>
      </c>
      <c r="AE180" s="1" t="s">
        <v>303</v>
      </c>
      <c r="AF180" t="s">
        <v>117</v>
      </c>
      <c r="AG180" t="s">
        <v>161</v>
      </c>
    </row>
    <row r="181" spans="1:33" x14ac:dyDescent="0.25">
      <c r="A181">
        <v>3</v>
      </c>
      <c r="B181">
        <v>3</v>
      </c>
      <c r="C181" t="s">
        <v>112</v>
      </c>
      <c r="D181" t="s">
        <v>113</v>
      </c>
      <c r="E181" t="s">
        <v>81</v>
      </c>
      <c r="F181" t="e" cm="1">
        <f t="array" ref="F181">+ Hybrid context</f>
        <v>#NAME?</v>
      </c>
      <c r="G181" t="s">
        <v>274</v>
      </c>
      <c r="H181">
        <v>0.5</v>
      </c>
      <c r="I181">
        <v>0.3</v>
      </c>
      <c r="J181">
        <v>0.2</v>
      </c>
      <c r="K181">
        <v>10</v>
      </c>
      <c r="L181" t="s">
        <v>169</v>
      </c>
      <c r="M181" t="s">
        <v>170</v>
      </c>
      <c r="N181" t="s">
        <v>117</v>
      </c>
      <c r="O181" t="s">
        <v>171</v>
      </c>
      <c r="P181" t="s">
        <v>285</v>
      </c>
      <c r="Q181" t="b">
        <v>0</v>
      </c>
      <c r="R181">
        <v>0.92</v>
      </c>
      <c r="S181">
        <v>4.5990000000000002</v>
      </c>
      <c r="T181">
        <v>2.2490000000000001</v>
      </c>
      <c r="U181">
        <v>0</v>
      </c>
      <c r="V181">
        <v>23</v>
      </c>
      <c r="W181">
        <v>20</v>
      </c>
      <c r="X181">
        <v>0.55291199999999996</v>
      </c>
      <c r="Y181" t="b">
        <v>1</v>
      </c>
      <c r="Z181" t="b">
        <v>0</v>
      </c>
      <c r="AA181" t="b">
        <v>0</v>
      </c>
      <c r="AB181" t="b">
        <v>0</v>
      </c>
      <c r="AC181" t="s">
        <v>244</v>
      </c>
      <c r="AD181" s="1" t="s">
        <v>304</v>
      </c>
      <c r="AE181" s="1" t="s">
        <v>304</v>
      </c>
      <c r="AF181" t="s">
        <v>117</v>
      </c>
      <c r="AG181" t="s">
        <v>285</v>
      </c>
    </row>
    <row r="182" spans="1:33" x14ac:dyDescent="0.25">
      <c r="A182">
        <v>4</v>
      </c>
      <c r="B182">
        <v>3</v>
      </c>
      <c r="C182" t="s">
        <v>112</v>
      </c>
      <c r="D182" t="s">
        <v>113</v>
      </c>
      <c r="E182" t="s">
        <v>81</v>
      </c>
      <c r="F182" t="e" cm="1">
        <f t="array" ref="F182">+ Hybrid context</f>
        <v>#NAME?</v>
      </c>
      <c r="G182" t="s">
        <v>274</v>
      </c>
      <c r="H182">
        <v>0.5</v>
      </c>
      <c r="I182">
        <v>0.3</v>
      </c>
      <c r="J182">
        <v>0.2</v>
      </c>
      <c r="K182">
        <v>1</v>
      </c>
      <c r="L182" t="s">
        <v>115</v>
      </c>
      <c r="M182" t="s">
        <v>116</v>
      </c>
      <c r="N182" t="s">
        <v>117</v>
      </c>
      <c r="O182" t="s">
        <v>118</v>
      </c>
      <c r="P182" t="s">
        <v>117</v>
      </c>
      <c r="Q182" t="b">
        <v>1</v>
      </c>
      <c r="R182">
        <v>0.75744699999999998</v>
      </c>
      <c r="S182">
        <v>5.5519999999999996</v>
      </c>
      <c r="T182">
        <v>2.8370000000000002</v>
      </c>
      <c r="U182">
        <v>0</v>
      </c>
      <c r="V182">
        <v>27</v>
      </c>
      <c r="W182">
        <v>20</v>
      </c>
      <c r="X182">
        <v>0.59270599999999996</v>
      </c>
      <c r="Y182" t="b">
        <v>1</v>
      </c>
      <c r="Z182" t="b">
        <v>0</v>
      </c>
      <c r="AA182" t="b">
        <v>0</v>
      </c>
      <c r="AB182" t="b">
        <v>0</v>
      </c>
      <c r="AC182" t="s">
        <v>232</v>
      </c>
      <c r="AD182" s="1" t="s">
        <v>305</v>
      </c>
      <c r="AE182" s="1" t="s">
        <v>305</v>
      </c>
      <c r="AF182" t="s">
        <v>117</v>
      </c>
      <c r="AG182" t="s">
        <v>117</v>
      </c>
    </row>
    <row r="183" spans="1:33" x14ac:dyDescent="0.25">
      <c r="A183">
        <v>4</v>
      </c>
      <c r="B183">
        <v>3</v>
      </c>
      <c r="C183" t="s">
        <v>112</v>
      </c>
      <c r="D183" t="s">
        <v>113</v>
      </c>
      <c r="E183" t="s">
        <v>81</v>
      </c>
      <c r="F183" t="e" cm="1">
        <f t="array" ref="F183">+ Hybrid context</f>
        <v>#NAME?</v>
      </c>
      <c r="G183" t="s">
        <v>274</v>
      </c>
      <c r="H183">
        <v>0.5</v>
      </c>
      <c r="I183">
        <v>0.3</v>
      </c>
      <c r="J183">
        <v>0.2</v>
      </c>
      <c r="K183">
        <v>2</v>
      </c>
      <c r="L183" t="s">
        <v>121</v>
      </c>
      <c r="M183" t="s">
        <v>122</v>
      </c>
      <c r="N183" t="s">
        <v>123</v>
      </c>
      <c r="O183" t="s">
        <v>124</v>
      </c>
      <c r="P183" t="s">
        <v>125</v>
      </c>
      <c r="Q183" t="b">
        <v>0</v>
      </c>
      <c r="R183">
        <v>0.73483500000000002</v>
      </c>
      <c r="S183">
        <v>5.4749999999999996</v>
      </c>
      <c r="T183">
        <v>2.6280000000000001</v>
      </c>
      <c r="U183">
        <v>0</v>
      </c>
      <c r="V183">
        <v>16</v>
      </c>
      <c r="W183">
        <v>16</v>
      </c>
      <c r="X183">
        <v>0.52809899999999999</v>
      </c>
      <c r="Y183" t="b">
        <v>1</v>
      </c>
      <c r="Z183" t="b">
        <v>0</v>
      </c>
      <c r="AA183" t="b">
        <v>0</v>
      </c>
      <c r="AB183" t="b">
        <v>0</v>
      </c>
      <c r="AC183" t="s">
        <v>126</v>
      </c>
      <c r="AD183" s="1" t="s">
        <v>306</v>
      </c>
      <c r="AE183" s="1" t="s">
        <v>306</v>
      </c>
      <c r="AF183" t="s">
        <v>123</v>
      </c>
      <c r="AG183" t="s">
        <v>125</v>
      </c>
    </row>
    <row r="184" spans="1:33" x14ac:dyDescent="0.25">
      <c r="A184">
        <v>4</v>
      </c>
      <c r="B184">
        <v>3</v>
      </c>
      <c r="C184" t="s">
        <v>112</v>
      </c>
      <c r="D184" t="s">
        <v>113</v>
      </c>
      <c r="E184" t="s">
        <v>81</v>
      </c>
      <c r="F184" t="e" cm="1">
        <f t="array" ref="F184">+ Hybrid context</f>
        <v>#NAME?</v>
      </c>
      <c r="G184" t="s">
        <v>274</v>
      </c>
      <c r="H184">
        <v>0.5</v>
      </c>
      <c r="I184">
        <v>0.3</v>
      </c>
      <c r="J184">
        <v>0.2</v>
      </c>
      <c r="K184">
        <v>3</v>
      </c>
      <c r="L184" t="s">
        <v>128</v>
      </c>
      <c r="M184" t="s">
        <v>129</v>
      </c>
      <c r="N184" t="s">
        <v>117</v>
      </c>
      <c r="O184" t="s">
        <v>130</v>
      </c>
      <c r="P184" t="s">
        <v>131</v>
      </c>
      <c r="Q184" t="b">
        <v>0</v>
      </c>
      <c r="R184">
        <v>0.73705299999999996</v>
      </c>
      <c r="S184">
        <v>4.87</v>
      </c>
      <c r="T184">
        <v>2.5779999999999998</v>
      </c>
      <c r="U184">
        <v>0</v>
      </c>
      <c r="V184">
        <v>17</v>
      </c>
      <c r="W184">
        <v>17</v>
      </c>
      <c r="X184">
        <v>0.53443700000000005</v>
      </c>
      <c r="Y184" t="b">
        <v>1</v>
      </c>
      <c r="Z184" t="b">
        <v>0</v>
      </c>
      <c r="AA184" t="b">
        <v>0</v>
      </c>
      <c r="AB184" t="b">
        <v>0</v>
      </c>
      <c r="AC184" t="s">
        <v>132</v>
      </c>
      <c r="AD184" s="1" t="s">
        <v>277</v>
      </c>
      <c r="AE184" s="1" t="s">
        <v>277</v>
      </c>
      <c r="AF184" t="s">
        <v>117</v>
      </c>
      <c r="AG184" t="s">
        <v>131</v>
      </c>
    </row>
    <row r="185" spans="1:33" x14ac:dyDescent="0.25">
      <c r="A185">
        <v>4</v>
      </c>
      <c r="B185">
        <v>3</v>
      </c>
      <c r="C185" t="s">
        <v>112</v>
      </c>
      <c r="D185" t="s">
        <v>113</v>
      </c>
      <c r="E185" t="s">
        <v>81</v>
      </c>
      <c r="F185" t="e" cm="1">
        <f t="array" ref="F185">+ Hybrid context</f>
        <v>#NAME?</v>
      </c>
      <c r="G185" t="s">
        <v>274</v>
      </c>
      <c r="H185">
        <v>0.5</v>
      </c>
      <c r="I185">
        <v>0.3</v>
      </c>
      <c r="J185">
        <v>0.2</v>
      </c>
      <c r="K185">
        <v>4</v>
      </c>
      <c r="L185" t="s">
        <v>134</v>
      </c>
      <c r="M185" t="s">
        <v>135</v>
      </c>
      <c r="N185" t="s">
        <v>117</v>
      </c>
      <c r="O185" t="s">
        <v>136</v>
      </c>
      <c r="P185" t="s">
        <v>125</v>
      </c>
      <c r="Q185" t="b">
        <v>0</v>
      </c>
      <c r="R185">
        <v>0.74739699999999998</v>
      </c>
      <c r="S185">
        <v>5.9009999999999998</v>
      </c>
      <c r="T185">
        <v>2.694</v>
      </c>
      <c r="U185">
        <v>0</v>
      </c>
      <c r="V185">
        <v>22</v>
      </c>
      <c r="W185">
        <v>20</v>
      </c>
      <c r="X185">
        <v>0.56399200000000005</v>
      </c>
      <c r="Y185" t="b">
        <v>1</v>
      </c>
      <c r="Z185" t="b">
        <v>0</v>
      </c>
      <c r="AA185" t="b">
        <v>0</v>
      </c>
      <c r="AB185" t="b">
        <v>0</v>
      </c>
      <c r="AC185" t="s">
        <v>235</v>
      </c>
      <c r="AD185" s="1" t="s">
        <v>307</v>
      </c>
      <c r="AE185" s="1" t="s">
        <v>307</v>
      </c>
      <c r="AF185" t="s">
        <v>117</v>
      </c>
      <c r="AG185" t="s">
        <v>125</v>
      </c>
    </row>
    <row r="186" spans="1:33" x14ac:dyDescent="0.25">
      <c r="A186">
        <v>4</v>
      </c>
      <c r="B186">
        <v>3</v>
      </c>
      <c r="C186" t="s">
        <v>112</v>
      </c>
      <c r="D186" t="s">
        <v>113</v>
      </c>
      <c r="E186" t="s">
        <v>81</v>
      </c>
      <c r="F186" t="e" cm="1">
        <f t="array" ref="F186">+ Hybrid context</f>
        <v>#NAME?</v>
      </c>
      <c r="G186" t="s">
        <v>274</v>
      </c>
      <c r="H186">
        <v>0.5</v>
      </c>
      <c r="I186">
        <v>0.3</v>
      </c>
      <c r="J186">
        <v>0.2</v>
      </c>
      <c r="K186">
        <v>5</v>
      </c>
      <c r="L186" t="s">
        <v>139</v>
      </c>
      <c r="M186" t="s">
        <v>140</v>
      </c>
      <c r="N186" t="s">
        <v>141</v>
      </c>
      <c r="O186" t="s">
        <v>142</v>
      </c>
      <c r="P186" t="s">
        <v>143</v>
      </c>
      <c r="Q186" t="b">
        <v>0</v>
      </c>
      <c r="R186">
        <v>0.74609599999999998</v>
      </c>
      <c r="S186">
        <v>5.81</v>
      </c>
      <c r="T186">
        <v>3.6579999999999999</v>
      </c>
      <c r="U186">
        <v>0</v>
      </c>
      <c r="V186">
        <v>19</v>
      </c>
      <c r="W186">
        <v>19</v>
      </c>
      <c r="X186">
        <v>0.560276</v>
      </c>
      <c r="Y186" t="b">
        <v>1</v>
      </c>
      <c r="Z186" t="b">
        <v>0</v>
      </c>
      <c r="AA186" t="b">
        <v>0</v>
      </c>
      <c r="AB186" t="b">
        <v>0</v>
      </c>
      <c r="AC186" t="s">
        <v>144</v>
      </c>
      <c r="AD186" s="1" t="s">
        <v>308</v>
      </c>
      <c r="AE186" s="1" t="s">
        <v>308</v>
      </c>
      <c r="AF186" t="s">
        <v>141</v>
      </c>
      <c r="AG186" t="s">
        <v>143</v>
      </c>
    </row>
    <row r="187" spans="1:33" x14ac:dyDescent="0.25">
      <c r="A187">
        <v>4</v>
      </c>
      <c r="B187">
        <v>3</v>
      </c>
      <c r="C187" t="s">
        <v>112</v>
      </c>
      <c r="D187" t="s">
        <v>113</v>
      </c>
      <c r="E187" t="s">
        <v>81</v>
      </c>
      <c r="F187" t="e" cm="1">
        <f t="array" ref="F187">+ Hybrid context</f>
        <v>#NAME?</v>
      </c>
      <c r="G187" t="s">
        <v>274</v>
      </c>
      <c r="H187">
        <v>0.5</v>
      </c>
      <c r="I187">
        <v>0.3</v>
      </c>
      <c r="J187">
        <v>0.2</v>
      </c>
      <c r="K187">
        <v>6</v>
      </c>
      <c r="L187" t="s">
        <v>146</v>
      </c>
      <c r="M187" t="s">
        <v>147</v>
      </c>
      <c r="N187" t="s">
        <v>141</v>
      </c>
      <c r="O187" t="s">
        <v>148</v>
      </c>
      <c r="P187" t="s">
        <v>123</v>
      </c>
      <c r="Q187" t="b">
        <v>0</v>
      </c>
      <c r="R187">
        <v>0.754498</v>
      </c>
      <c r="S187">
        <v>10.855</v>
      </c>
      <c r="T187">
        <v>8.0139999999999993</v>
      </c>
      <c r="U187">
        <v>0</v>
      </c>
      <c r="V187">
        <v>27</v>
      </c>
      <c r="W187">
        <v>20</v>
      </c>
      <c r="X187">
        <v>0.58428000000000002</v>
      </c>
      <c r="Y187" t="b">
        <v>1</v>
      </c>
      <c r="Z187" t="b">
        <v>0</v>
      </c>
      <c r="AA187" t="b">
        <v>0</v>
      </c>
      <c r="AB187" t="b">
        <v>0</v>
      </c>
      <c r="AC187" t="s">
        <v>238</v>
      </c>
      <c r="AD187" s="1" t="s">
        <v>300</v>
      </c>
      <c r="AE187" s="1" t="s">
        <v>300</v>
      </c>
      <c r="AF187" t="s">
        <v>141</v>
      </c>
      <c r="AG187" t="s">
        <v>123</v>
      </c>
    </row>
    <row r="188" spans="1:33" x14ac:dyDescent="0.25">
      <c r="A188">
        <v>4</v>
      </c>
      <c r="B188">
        <v>3</v>
      </c>
      <c r="C188" t="s">
        <v>112</v>
      </c>
      <c r="D188" t="s">
        <v>113</v>
      </c>
      <c r="E188" t="s">
        <v>81</v>
      </c>
      <c r="F188" t="e" cm="1">
        <f t="array" ref="F188">+ Hybrid context</f>
        <v>#NAME?</v>
      </c>
      <c r="G188" t="s">
        <v>274</v>
      </c>
      <c r="H188">
        <v>0.5</v>
      </c>
      <c r="I188">
        <v>0.3</v>
      </c>
      <c r="J188">
        <v>0.2</v>
      </c>
      <c r="K188">
        <v>7</v>
      </c>
      <c r="L188" t="s">
        <v>151</v>
      </c>
      <c r="M188" t="s">
        <v>152</v>
      </c>
      <c r="N188" t="s">
        <v>117</v>
      </c>
      <c r="O188" t="s">
        <v>153</v>
      </c>
      <c r="P188" t="s">
        <v>154</v>
      </c>
      <c r="Q188" t="b">
        <v>0</v>
      </c>
      <c r="R188">
        <v>0.75764900000000002</v>
      </c>
      <c r="S188">
        <v>4.8120000000000003</v>
      </c>
      <c r="T188">
        <v>2.157</v>
      </c>
      <c r="U188">
        <v>0</v>
      </c>
      <c r="V188">
        <v>30</v>
      </c>
      <c r="W188">
        <v>20</v>
      </c>
      <c r="X188">
        <v>0.593283</v>
      </c>
      <c r="Y188" t="b">
        <v>1</v>
      </c>
      <c r="Z188" t="b">
        <v>0</v>
      </c>
      <c r="AA188" t="b">
        <v>0</v>
      </c>
      <c r="AB188" t="b">
        <v>0</v>
      </c>
      <c r="AC188" t="s">
        <v>240</v>
      </c>
      <c r="AD188" s="1" t="s">
        <v>309</v>
      </c>
      <c r="AE188" s="1" t="s">
        <v>309</v>
      </c>
      <c r="AF188" t="s">
        <v>117</v>
      </c>
      <c r="AG188" t="s">
        <v>154</v>
      </c>
    </row>
    <row r="189" spans="1:33" x14ac:dyDescent="0.25">
      <c r="A189">
        <v>4</v>
      </c>
      <c r="B189">
        <v>3</v>
      </c>
      <c r="C189" t="s">
        <v>112</v>
      </c>
      <c r="D189" t="s">
        <v>113</v>
      </c>
      <c r="E189" t="s">
        <v>81</v>
      </c>
      <c r="F189" t="e" cm="1">
        <f t="array" ref="F189">+ Hybrid context</f>
        <v>#NAME?</v>
      </c>
      <c r="G189" t="s">
        <v>274</v>
      </c>
      <c r="H189">
        <v>0.5</v>
      </c>
      <c r="I189">
        <v>0.3</v>
      </c>
      <c r="J189">
        <v>0.2</v>
      </c>
      <c r="K189">
        <v>8</v>
      </c>
      <c r="L189" t="s">
        <v>157</v>
      </c>
      <c r="M189" t="s">
        <v>158</v>
      </c>
      <c r="N189" t="s">
        <v>159</v>
      </c>
      <c r="O189" t="s">
        <v>160</v>
      </c>
      <c r="P189" t="s">
        <v>161</v>
      </c>
      <c r="Q189" t="b">
        <v>0</v>
      </c>
      <c r="R189">
        <v>0.75232600000000005</v>
      </c>
      <c r="S189">
        <v>5.1340000000000003</v>
      </c>
      <c r="T189">
        <v>2.4500000000000002</v>
      </c>
      <c r="U189">
        <v>0</v>
      </c>
      <c r="V189">
        <v>10</v>
      </c>
      <c r="W189">
        <v>10</v>
      </c>
      <c r="X189">
        <v>0.57807399999999998</v>
      </c>
      <c r="Y189" t="b">
        <v>1</v>
      </c>
      <c r="Z189" t="b">
        <v>0</v>
      </c>
      <c r="AA189" t="b">
        <v>0</v>
      </c>
      <c r="AB189" t="b">
        <v>0</v>
      </c>
      <c r="AC189" t="s">
        <v>162</v>
      </c>
      <c r="AD189" s="1" t="s">
        <v>310</v>
      </c>
      <c r="AE189" s="1" t="s">
        <v>310</v>
      </c>
      <c r="AF189" t="s">
        <v>159</v>
      </c>
      <c r="AG189" t="s">
        <v>161</v>
      </c>
    </row>
    <row r="190" spans="1:33" x14ac:dyDescent="0.25">
      <c r="A190">
        <v>4</v>
      </c>
      <c r="B190">
        <v>3</v>
      </c>
      <c r="C190" t="s">
        <v>112</v>
      </c>
      <c r="D190" t="s">
        <v>113</v>
      </c>
      <c r="E190" t="s">
        <v>81</v>
      </c>
      <c r="F190" t="e" cm="1">
        <f t="array" ref="F190">+ Hybrid context</f>
        <v>#NAME?</v>
      </c>
      <c r="G190" t="s">
        <v>274</v>
      </c>
      <c r="H190">
        <v>0.5</v>
      </c>
      <c r="I190">
        <v>0.3</v>
      </c>
      <c r="J190">
        <v>0.2</v>
      </c>
      <c r="K190">
        <v>9</v>
      </c>
      <c r="L190" t="s">
        <v>164</v>
      </c>
      <c r="M190" t="s">
        <v>165</v>
      </c>
      <c r="N190" t="s">
        <v>117</v>
      </c>
      <c r="O190" t="s">
        <v>166</v>
      </c>
      <c r="P190" t="s">
        <v>161</v>
      </c>
      <c r="Q190" t="b">
        <v>0</v>
      </c>
      <c r="R190">
        <v>0.73730399999999996</v>
      </c>
      <c r="S190">
        <v>5.1580000000000004</v>
      </c>
      <c r="T190">
        <v>2.0779999999999998</v>
      </c>
      <c r="U190">
        <v>0</v>
      </c>
      <c r="V190">
        <v>12</v>
      </c>
      <c r="W190">
        <v>12</v>
      </c>
      <c r="X190">
        <v>0.53515599999999997</v>
      </c>
      <c r="Y190" t="b">
        <v>1</v>
      </c>
      <c r="Z190" t="b">
        <v>0</v>
      </c>
      <c r="AA190" t="b">
        <v>0</v>
      </c>
      <c r="AB190" t="b">
        <v>0</v>
      </c>
      <c r="AC190" t="s">
        <v>167</v>
      </c>
      <c r="AD190" s="1" t="s">
        <v>311</v>
      </c>
      <c r="AE190" s="1" t="s">
        <v>311</v>
      </c>
      <c r="AF190" t="s">
        <v>117</v>
      </c>
      <c r="AG190" t="s">
        <v>161</v>
      </c>
    </row>
    <row r="191" spans="1:33" x14ac:dyDescent="0.25">
      <c r="A191">
        <v>4</v>
      </c>
      <c r="B191">
        <v>3</v>
      </c>
      <c r="C191" t="s">
        <v>112</v>
      </c>
      <c r="D191" t="s">
        <v>113</v>
      </c>
      <c r="E191" t="s">
        <v>81</v>
      </c>
      <c r="F191" t="e" cm="1">
        <f t="array" ref="F191">+ Hybrid context</f>
        <v>#NAME?</v>
      </c>
      <c r="G191" t="s">
        <v>274</v>
      </c>
      <c r="H191">
        <v>0.5</v>
      </c>
      <c r="I191">
        <v>0.3</v>
      </c>
      <c r="J191">
        <v>0.2</v>
      </c>
      <c r="K191">
        <v>10</v>
      </c>
      <c r="L191" t="s">
        <v>169</v>
      </c>
      <c r="M191" t="s">
        <v>170</v>
      </c>
      <c r="N191" t="s">
        <v>117</v>
      </c>
      <c r="O191" t="s">
        <v>171</v>
      </c>
      <c r="P191" t="s">
        <v>161</v>
      </c>
      <c r="Q191" t="b">
        <v>0</v>
      </c>
      <c r="R191">
        <v>0.74351500000000004</v>
      </c>
      <c r="S191">
        <v>4.5209999999999999</v>
      </c>
      <c r="T191">
        <v>2.4169999999999998</v>
      </c>
      <c r="U191">
        <v>0</v>
      </c>
      <c r="V191">
        <v>23</v>
      </c>
      <c r="W191">
        <v>20</v>
      </c>
      <c r="X191">
        <v>0.55289900000000003</v>
      </c>
      <c r="Y191" t="b">
        <v>1</v>
      </c>
      <c r="Z191" t="b">
        <v>0</v>
      </c>
      <c r="AA191" t="b">
        <v>0</v>
      </c>
      <c r="AB191" t="b">
        <v>0</v>
      </c>
      <c r="AC191" t="s">
        <v>244</v>
      </c>
      <c r="AD191" s="1" t="s">
        <v>312</v>
      </c>
      <c r="AE191" s="1" t="s">
        <v>312</v>
      </c>
      <c r="AF191" t="s">
        <v>117</v>
      </c>
      <c r="AG191" t="s">
        <v>161</v>
      </c>
    </row>
    <row r="192" spans="1:33" x14ac:dyDescent="0.25">
      <c r="A192">
        <v>5</v>
      </c>
      <c r="B192">
        <v>3</v>
      </c>
      <c r="C192" t="s">
        <v>112</v>
      </c>
      <c r="D192" t="s">
        <v>113</v>
      </c>
      <c r="E192" t="s">
        <v>81</v>
      </c>
      <c r="F192" t="e" cm="1">
        <f t="array" ref="F192">+ Hybrid context</f>
        <v>#NAME?</v>
      </c>
      <c r="G192" t="s">
        <v>274</v>
      </c>
      <c r="H192">
        <v>0.5</v>
      </c>
      <c r="I192">
        <v>0.3</v>
      </c>
      <c r="J192">
        <v>0.2</v>
      </c>
      <c r="K192">
        <v>1</v>
      </c>
      <c r="L192" t="s">
        <v>115</v>
      </c>
      <c r="M192" t="s">
        <v>116</v>
      </c>
      <c r="N192" t="s">
        <v>117</v>
      </c>
      <c r="O192" t="s">
        <v>118</v>
      </c>
      <c r="P192" t="s">
        <v>117</v>
      </c>
      <c r="Q192" t="b">
        <v>1</v>
      </c>
      <c r="R192">
        <v>0.75744900000000004</v>
      </c>
      <c r="S192">
        <v>6.2880000000000003</v>
      </c>
      <c r="T192">
        <v>2.948</v>
      </c>
      <c r="U192">
        <v>0</v>
      </c>
      <c r="V192">
        <v>27</v>
      </c>
      <c r="W192">
        <v>20</v>
      </c>
      <c r="X192">
        <v>0.59271200000000002</v>
      </c>
      <c r="Y192" t="b">
        <v>1</v>
      </c>
      <c r="Z192" t="b">
        <v>0</v>
      </c>
      <c r="AA192" t="b">
        <v>0</v>
      </c>
      <c r="AB192" t="b">
        <v>0</v>
      </c>
      <c r="AC192" t="s">
        <v>232</v>
      </c>
      <c r="AD192" s="1" t="s">
        <v>313</v>
      </c>
      <c r="AE192" s="1" t="s">
        <v>313</v>
      </c>
      <c r="AF192" t="s">
        <v>117</v>
      </c>
      <c r="AG192" t="s">
        <v>117</v>
      </c>
    </row>
    <row r="193" spans="1:33" x14ac:dyDescent="0.25">
      <c r="A193">
        <v>5</v>
      </c>
      <c r="B193">
        <v>3</v>
      </c>
      <c r="C193" t="s">
        <v>112</v>
      </c>
      <c r="D193" t="s">
        <v>113</v>
      </c>
      <c r="E193" t="s">
        <v>81</v>
      </c>
      <c r="F193" t="e" cm="1">
        <f t="array" ref="F193">+ Hybrid context</f>
        <v>#NAME?</v>
      </c>
      <c r="G193" t="s">
        <v>274</v>
      </c>
      <c r="H193">
        <v>0.5</v>
      </c>
      <c r="I193">
        <v>0.3</v>
      </c>
      <c r="J193">
        <v>0.2</v>
      </c>
      <c r="K193">
        <v>2</v>
      </c>
      <c r="L193" t="s">
        <v>121</v>
      </c>
      <c r="M193" t="s">
        <v>122</v>
      </c>
      <c r="N193" t="s">
        <v>123</v>
      </c>
      <c r="O193" t="s">
        <v>124</v>
      </c>
      <c r="P193" t="s">
        <v>125</v>
      </c>
      <c r="Q193" t="b">
        <v>0</v>
      </c>
      <c r="R193">
        <v>0.73483600000000004</v>
      </c>
      <c r="S193">
        <v>5.24</v>
      </c>
      <c r="T193">
        <v>2.0960000000000001</v>
      </c>
      <c r="U193">
        <v>0</v>
      </c>
      <c r="V193">
        <v>16</v>
      </c>
      <c r="W193">
        <v>16</v>
      </c>
      <c r="X193">
        <v>0.52810199999999996</v>
      </c>
      <c r="Y193" t="b">
        <v>1</v>
      </c>
      <c r="Z193" t="b">
        <v>0</v>
      </c>
      <c r="AA193" t="b">
        <v>0</v>
      </c>
      <c r="AB193" t="b">
        <v>0</v>
      </c>
      <c r="AC193" t="s">
        <v>126</v>
      </c>
      <c r="AD193" s="1" t="s">
        <v>314</v>
      </c>
      <c r="AE193" s="1" t="s">
        <v>314</v>
      </c>
      <c r="AF193" t="s">
        <v>123</v>
      </c>
      <c r="AG193" t="s">
        <v>125</v>
      </c>
    </row>
    <row r="194" spans="1:33" x14ac:dyDescent="0.25">
      <c r="A194">
        <v>5</v>
      </c>
      <c r="B194">
        <v>3</v>
      </c>
      <c r="C194" t="s">
        <v>112</v>
      </c>
      <c r="D194" t="s">
        <v>113</v>
      </c>
      <c r="E194" t="s">
        <v>81</v>
      </c>
      <c r="F194" t="e" cm="1">
        <f t="array" ref="F194">+ Hybrid context</f>
        <v>#NAME?</v>
      </c>
      <c r="G194" t="s">
        <v>274</v>
      </c>
      <c r="H194">
        <v>0.5</v>
      </c>
      <c r="I194">
        <v>0.3</v>
      </c>
      <c r="J194">
        <v>0.2</v>
      </c>
      <c r="K194">
        <v>3</v>
      </c>
      <c r="L194" t="s">
        <v>128</v>
      </c>
      <c r="M194" t="s">
        <v>129</v>
      </c>
      <c r="N194" t="s">
        <v>117</v>
      </c>
      <c r="O194" t="s">
        <v>130</v>
      </c>
      <c r="P194" t="s">
        <v>131</v>
      </c>
      <c r="Q194" t="b">
        <v>0</v>
      </c>
      <c r="R194">
        <v>0.73704999999999998</v>
      </c>
      <c r="S194">
        <v>5.4450000000000003</v>
      </c>
      <c r="T194">
        <v>2.4569999999999999</v>
      </c>
      <c r="U194">
        <v>0</v>
      </c>
      <c r="V194">
        <v>17</v>
      </c>
      <c r="W194">
        <v>17</v>
      </c>
      <c r="X194">
        <v>0.53442900000000004</v>
      </c>
      <c r="Y194" t="b">
        <v>1</v>
      </c>
      <c r="Z194" t="b">
        <v>0</v>
      </c>
      <c r="AA194" t="b">
        <v>0</v>
      </c>
      <c r="AB194" t="b">
        <v>0</v>
      </c>
      <c r="AC194" t="s">
        <v>132</v>
      </c>
      <c r="AD194" s="1" t="s">
        <v>315</v>
      </c>
      <c r="AE194" s="1" t="s">
        <v>315</v>
      </c>
      <c r="AF194" t="s">
        <v>117</v>
      </c>
      <c r="AG194" t="s">
        <v>131</v>
      </c>
    </row>
    <row r="195" spans="1:33" x14ac:dyDescent="0.25">
      <c r="A195">
        <v>5</v>
      </c>
      <c r="B195">
        <v>3</v>
      </c>
      <c r="C195" t="s">
        <v>112</v>
      </c>
      <c r="D195" t="s">
        <v>113</v>
      </c>
      <c r="E195" t="s">
        <v>81</v>
      </c>
      <c r="F195" t="e" cm="1">
        <f t="array" ref="F195">+ Hybrid context</f>
        <v>#NAME?</v>
      </c>
      <c r="G195" t="s">
        <v>274</v>
      </c>
      <c r="H195">
        <v>0.5</v>
      </c>
      <c r="I195">
        <v>0.3</v>
      </c>
      <c r="J195">
        <v>0.2</v>
      </c>
      <c r="K195">
        <v>4</v>
      </c>
      <c r="L195" t="s">
        <v>134</v>
      </c>
      <c r="M195" t="s">
        <v>135</v>
      </c>
      <c r="N195" t="s">
        <v>117</v>
      </c>
      <c r="O195" t="s">
        <v>136</v>
      </c>
      <c r="P195" t="s">
        <v>125</v>
      </c>
      <c r="Q195" t="b">
        <v>0</v>
      </c>
      <c r="R195">
        <v>0.74739699999999998</v>
      </c>
      <c r="S195">
        <v>6.2359999999999998</v>
      </c>
      <c r="T195">
        <v>3.081</v>
      </c>
      <c r="U195">
        <v>0</v>
      </c>
      <c r="V195">
        <v>22</v>
      </c>
      <c r="W195">
        <v>20</v>
      </c>
      <c r="X195">
        <v>0.56399200000000005</v>
      </c>
      <c r="Y195" t="b">
        <v>1</v>
      </c>
      <c r="Z195" t="b">
        <v>0</v>
      </c>
      <c r="AA195" t="b">
        <v>0</v>
      </c>
      <c r="AB195" t="b">
        <v>0</v>
      </c>
      <c r="AC195" t="s">
        <v>235</v>
      </c>
      <c r="AD195" s="1" t="s">
        <v>316</v>
      </c>
      <c r="AE195" s="1" t="s">
        <v>316</v>
      </c>
      <c r="AF195" t="s">
        <v>117</v>
      </c>
      <c r="AG195" t="s">
        <v>125</v>
      </c>
    </row>
    <row r="196" spans="1:33" x14ac:dyDescent="0.25">
      <c r="A196">
        <v>5</v>
      </c>
      <c r="B196">
        <v>3</v>
      </c>
      <c r="C196" t="s">
        <v>112</v>
      </c>
      <c r="D196" t="s">
        <v>113</v>
      </c>
      <c r="E196" t="s">
        <v>81</v>
      </c>
      <c r="F196" t="e" cm="1">
        <f t="array" ref="F196">+ Hybrid context</f>
        <v>#NAME?</v>
      </c>
      <c r="G196" t="s">
        <v>274</v>
      </c>
      <c r="H196">
        <v>0.5</v>
      </c>
      <c r="I196">
        <v>0.3</v>
      </c>
      <c r="J196">
        <v>0.2</v>
      </c>
      <c r="K196">
        <v>5</v>
      </c>
      <c r="L196" t="s">
        <v>139</v>
      </c>
      <c r="M196" t="s">
        <v>140</v>
      </c>
      <c r="N196" t="s">
        <v>141</v>
      </c>
      <c r="O196" t="s">
        <v>142</v>
      </c>
      <c r="P196" t="s">
        <v>279</v>
      </c>
      <c r="Q196" t="b">
        <v>0</v>
      </c>
      <c r="R196">
        <v>0.74609599999999998</v>
      </c>
      <c r="S196">
        <v>6.351</v>
      </c>
      <c r="T196">
        <v>3.802</v>
      </c>
      <c r="U196">
        <v>0</v>
      </c>
      <c r="V196">
        <v>19</v>
      </c>
      <c r="W196">
        <v>19</v>
      </c>
      <c r="X196">
        <v>0.56027499999999997</v>
      </c>
      <c r="Y196" t="b">
        <v>1</v>
      </c>
      <c r="Z196" t="b">
        <v>0</v>
      </c>
      <c r="AA196" t="b">
        <v>0</v>
      </c>
      <c r="AB196" t="b">
        <v>0</v>
      </c>
      <c r="AC196" t="s">
        <v>144</v>
      </c>
      <c r="AD196" s="1" t="s">
        <v>317</v>
      </c>
      <c r="AE196" s="1" t="s">
        <v>317</v>
      </c>
      <c r="AF196" t="s">
        <v>141</v>
      </c>
      <c r="AG196" t="s">
        <v>279</v>
      </c>
    </row>
    <row r="197" spans="1:33" x14ac:dyDescent="0.25">
      <c r="A197">
        <v>5</v>
      </c>
      <c r="B197">
        <v>3</v>
      </c>
      <c r="C197" t="s">
        <v>112</v>
      </c>
      <c r="D197" t="s">
        <v>113</v>
      </c>
      <c r="E197" t="s">
        <v>81</v>
      </c>
      <c r="F197" t="e" cm="1">
        <f t="array" ref="F197">+ Hybrid context</f>
        <v>#NAME?</v>
      </c>
      <c r="G197" t="s">
        <v>274</v>
      </c>
      <c r="H197">
        <v>0.5</v>
      </c>
      <c r="I197">
        <v>0.3</v>
      </c>
      <c r="J197">
        <v>0.2</v>
      </c>
      <c r="K197">
        <v>6</v>
      </c>
      <c r="L197" t="s">
        <v>146</v>
      </c>
      <c r="M197" t="s">
        <v>147</v>
      </c>
      <c r="N197" t="s">
        <v>141</v>
      </c>
      <c r="O197" t="s">
        <v>148</v>
      </c>
      <c r="P197" t="s">
        <v>123</v>
      </c>
      <c r="Q197" t="b">
        <v>0</v>
      </c>
      <c r="R197">
        <v>0.75449299999999997</v>
      </c>
      <c r="S197">
        <v>4.7759999999999998</v>
      </c>
      <c r="T197">
        <v>2.1760000000000002</v>
      </c>
      <c r="U197">
        <v>0</v>
      </c>
      <c r="V197">
        <v>27</v>
      </c>
      <c r="W197">
        <v>20</v>
      </c>
      <c r="X197">
        <v>0.58426699999999998</v>
      </c>
      <c r="Y197" t="b">
        <v>1</v>
      </c>
      <c r="Z197" t="b">
        <v>0</v>
      </c>
      <c r="AA197" t="b">
        <v>0</v>
      </c>
      <c r="AB197" t="b">
        <v>0</v>
      </c>
      <c r="AC197" t="s">
        <v>238</v>
      </c>
      <c r="AD197" s="1" t="s">
        <v>300</v>
      </c>
      <c r="AE197" s="1" t="s">
        <v>300</v>
      </c>
      <c r="AF197" t="s">
        <v>141</v>
      </c>
      <c r="AG197" t="s">
        <v>123</v>
      </c>
    </row>
    <row r="198" spans="1:33" x14ac:dyDescent="0.25">
      <c r="A198">
        <v>5</v>
      </c>
      <c r="B198">
        <v>3</v>
      </c>
      <c r="C198" t="s">
        <v>112</v>
      </c>
      <c r="D198" t="s">
        <v>113</v>
      </c>
      <c r="E198" t="s">
        <v>81</v>
      </c>
      <c r="F198" t="e" cm="1">
        <f t="array" ref="F198">+ Hybrid context</f>
        <v>#NAME?</v>
      </c>
      <c r="G198" t="s">
        <v>274</v>
      </c>
      <c r="H198">
        <v>0.5</v>
      </c>
      <c r="I198">
        <v>0.3</v>
      </c>
      <c r="J198">
        <v>0.2</v>
      </c>
      <c r="K198">
        <v>7</v>
      </c>
      <c r="L198" t="s">
        <v>151</v>
      </c>
      <c r="M198" t="s">
        <v>152</v>
      </c>
      <c r="N198" t="s">
        <v>117</v>
      </c>
      <c r="O198" t="s">
        <v>153</v>
      </c>
      <c r="P198" t="s">
        <v>154</v>
      </c>
      <c r="Q198" t="b">
        <v>0</v>
      </c>
      <c r="R198">
        <v>0.75767499999999999</v>
      </c>
      <c r="S198">
        <v>5.2030000000000003</v>
      </c>
      <c r="T198">
        <v>2.3119999999999998</v>
      </c>
      <c r="U198">
        <v>0</v>
      </c>
      <c r="V198">
        <v>30</v>
      </c>
      <c r="W198">
        <v>20</v>
      </c>
      <c r="X198">
        <v>0.59335599999999999</v>
      </c>
      <c r="Y198" t="b">
        <v>1</v>
      </c>
      <c r="Z198" t="b">
        <v>0</v>
      </c>
      <c r="AA198" t="b">
        <v>0</v>
      </c>
      <c r="AB198" t="b">
        <v>0</v>
      </c>
      <c r="AC198" t="s">
        <v>240</v>
      </c>
      <c r="AD198" s="1" t="s">
        <v>318</v>
      </c>
      <c r="AE198" s="1" t="s">
        <v>318</v>
      </c>
      <c r="AF198" t="s">
        <v>117</v>
      </c>
      <c r="AG198" t="s">
        <v>154</v>
      </c>
    </row>
    <row r="199" spans="1:33" x14ac:dyDescent="0.25">
      <c r="A199">
        <v>5</v>
      </c>
      <c r="B199">
        <v>3</v>
      </c>
      <c r="C199" t="s">
        <v>112</v>
      </c>
      <c r="D199" t="s">
        <v>113</v>
      </c>
      <c r="E199" t="s">
        <v>81</v>
      </c>
      <c r="F199" t="e" cm="1">
        <f t="array" ref="F199">+ Hybrid context</f>
        <v>#NAME?</v>
      </c>
      <c r="G199" t="s">
        <v>274</v>
      </c>
      <c r="H199">
        <v>0.5</v>
      </c>
      <c r="I199">
        <v>0.3</v>
      </c>
      <c r="J199">
        <v>0.2</v>
      </c>
      <c r="K199">
        <v>8</v>
      </c>
      <c r="L199" t="s">
        <v>157</v>
      </c>
      <c r="M199" t="s">
        <v>158</v>
      </c>
      <c r="N199" t="s">
        <v>159</v>
      </c>
      <c r="O199" t="s">
        <v>160</v>
      </c>
      <c r="P199" t="s">
        <v>161</v>
      </c>
      <c r="Q199" t="b">
        <v>0</v>
      </c>
      <c r="R199">
        <v>0.75232600000000005</v>
      </c>
      <c r="S199">
        <v>5.7320000000000002</v>
      </c>
      <c r="T199">
        <v>2.585</v>
      </c>
      <c r="U199">
        <v>0</v>
      </c>
      <c r="V199">
        <v>10</v>
      </c>
      <c r="W199">
        <v>10</v>
      </c>
      <c r="X199">
        <v>0.57807399999999998</v>
      </c>
      <c r="Y199" t="b">
        <v>1</v>
      </c>
      <c r="Z199" t="b">
        <v>0</v>
      </c>
      <c r="AA199" t="b">
        <v>0</v>
      </c>
      <c r="AB199" t="b">
        <v>0</v>
      </c>
      <c r="AC199" t="s">
        <v>162</v>
      </c>
      <c r="AD199" s="1" t="s">
        <v>310</v>
      </c>
      <c r="AE199" s="1" t="s">
        <v>310</v>
      </c>
      <c r="AF199" t="s">
        <v>159</v>
      </c>
      <c r="AG199" t="s">
        <v>161</v>
      </c>
    </row>
    <row r="200" spans="1:33" x14ac:dyDescent="0.25">
      <c r="A200">
        <v>5</v>
      </c>
      <c r="B200">
        <v>3</v>
      </c>
      <c r="C200" t="s">
        <v>112</v>
      </c>
      <c r="D200" t="s">
        <v>113</v>
      </c>
      <c r="E200" t="s">
        <v>81</v>
      </c>
      <c r="F200" t="e" cm="1">
        <f t="array" ref="F200">+ Hybrid context</f>
        <v>#NAME?</v>
      </c>
      <c r="G200" t="s">
        <v>274</v>
      </c>
      <c r="H200">
        <v>0.5</v>
      </c>
      <c r="I200">
        <v>0.3</v>
      </c>
      <c r="J200">
        <v>0.2</v>
      </c>
      <c r="K200">
        <v>9</v>
      </c>
      <c r="L200" t="s">
        <v>164</v>
      </c>
      <c r="M200" t="s">
        <v>165</v>
      </c>
      <c r="N200" t="s">
        <v>117</v>
      </c>
      <c r="O200" t="s">
        <v>166</v>
      </c>
      <c r="P200" t="s">
        <v>161</v>
      </c>
      <c r="Q200" t="b">
        <v>0</v>
      </c>
      <c r="R200">
        <v>0.73730600000000002</v>
      </c>
      <c r="S200">
        <v>5.4080000000000004</v>
      </c>
      <c r="T200">
        <v>2.2250000000000001</v>
      </c>
      <c r="U200">
        <v>0</v>
      </c>
      <c r="V200">
        <v>12</v>
      </c>
      <c r="W200">
        <v>12</v>
      </c>
      <c r="X200">
        <v>0.53515900000000005</v>
      </c>
      <c r="Y200" t="b">
        <v>1</v>
      </c>
      <c r="Z200" t="b">
        <v>0</v>
      </c>
      <c r="AA200" t="b">
        <v>0</v>
      </c>
      <c r="AB200" t="b">
        <v>0</v>
      </c>
      <c r="AC200" t="s">
        <v>167</v>
      </c>
      <c r="AD200" s="1" t="s">
        <v>319</v>
      </c>
      <c r="AE200" s="1" t="s">
        <v>319</v>
      </c>
      <c r="AF200" t="s">
        <v>117</v>
      </c>
      <c r="AG200" t="s">
        <v>161</v>
      </c>
    </row>
    <row r="201" spans="1:33" x14ac:dyDescent="0.25">
      <c r="A201">
        <v>5</v>
      </c>
      <c r="B201">
        <v>3</v>
      </c>
      <c r="C201" t="s">
        <v>112</v>
      </c>
      <c r="D201" t="s">
        <v>113</v>
      </c>
      <c r="E201" t="s">
        <v>81</v>
      </c>
      <c r="F201" t="e" cm="1">
        <f t="array" ref="F201">+ Hybrid context</f>
        <v>#NAME?</v>
      </c>
      <c r="G201" t="s">
        <v>274</v>
      </c>
      <c r="H201">
        <v>0.5</v>
      </c>
      <c r="I201">
        <v>0.3</v>
      </c>
      <c r="J201">
        <v>0.2</v>
      </c>
      <c r="K201">
        <v>10</v>
      </c>
      <c r="L201" t="s">
        <v>169</v>
      </c>
      <c r="M201" t="s">
        <v>170</v>
      </c>
      <c r="N201" t="s">
        <v>117</v>
      </c>
      <c r="O201" t="s">
        <v>171</v>
      </c>
      <c r="P201" t="s">
        <v>161</v>
      </c>
      <c r="Q201" t="b">
        <v>0</v>
      </c>
      <c r="R201">
        <v>0.74351800000000001</v>
      </c>
      <c r="S201">
        <v>7.9470000000000001</v>
      </c>
      <c r="T201">
        <v>5.2460000000000004</v>
      </c>
      <c r="U201">
        <v>0</v>
      </c>
      <c r="V201">
        <v>23</v>
      </c>
      <c r="W201">
        <v>20</v>
      </c>
      <c r="X201">
        <v>0.55290700000000004</v>
      </c>
      <c r="Y201" t="b">
        <v>1</v>
      </c>
      <c r="Z201" t="b">
        <v>0</v>
      </c>
      <c r="AA201" t="b">
        <v>0</v>
      </c>
      <c r="AB201" t="b">
        <v>0</v>
      </c>
      <c r="AC201" t="s">
        <v>244</v>
      </c>
      <c r="AD201" s="1" t="s">
        <v>295</v>
      </c>
      <c r="AE201" s="1" t="s">
        <v>295</v>
      </c>
      <c r="AF201" t="s">
        <v>117</v>
      </c>
      <c r="AG201" t="s">
        <v>161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9483-A438-49DC-9768-E39E307D14C2}">
  <dimension ref="A1:M5"/>
  <sheetViews>
    <sheetView workbookViewId="0">
      <selection activeCell="M13" sqref="M13"/>
    </sheetView>
  </sheetViews>
  <sheetFormatPr defaultRowHeight="15" x14ac:dyDescent="0.25"/>
  <cols>
    <col min="2" max="2" width="22.28515625" customWidth="1"/>
    <col min="3" max="3" width="20" customWidth="1"/>
    <col min="10" max="10" width="12.140625" customWidth="1"/>
    <col min="11" max="11" width="12.7109375" customWidth="1"/>
  </cols>
  <sheetData>
    <row r="1" spans="1:13" ht="60" x14ac:dyDescent="0.25">
      <c r="A1" t="s">
        <v>69</v>
      </c>
      <c r="B1" t="s">
        <v>70</v>
      </c>
      <c r="C1" t="s">
        <v>71</v>
      </c>
      <c r="D1" t="s">
        <v>72</v>
      </c>
      <c r="E1" t="s">
        <v>73</v>
      </c>
      <c r="F1" t="s">
        <v>44</v>
      </c>
      <c r="G1" t="s">
        <v>74</v>
      </c>
      <c r="H1" t="s">
        <v>45</v>
      </c>
      <c r="I1" t="s">
        <v>75</v>
      </c>
      <c r="J1" s="2" t="s">
        <v>322</v>
      </c>
      <c r="K1" s="2" t="s">
        <v>323</v>
      </c>
      <c r="L1" s="2" t="s">
        <v>324</v>
      </c>
      <c r="M1" s="2" t="s">
        <v>325</v>
      </c>
    </row>
    <row r="2" spans="1:13" ht="30" x14ac:dyDescent="0.25">
      <c r="A2" t="s">
        <v>77</v>
      </c>
      <c r="B2" t="s">
        <v>78</v>
      </c>
      <c r="C2">
        <v>6</v>
      </c>
      <c r="D2">
        <v>50</v>
      </c>
      <c r="E2">
        <v>0.12</v>
      </c>
      <c r="F2">
        <v>0.71544253999999996</v>
      </c>
      <c r="G2">
        <v>1.6570720233888302E-2</v>
      </c>
      <c r="H2">
        <v>5.3485399999999998</v>
      </c>
      <c r="I2">
        <v>1.67346167203049</v>
      </c>
      <c r="J2" s="4">
        <v>0.12</v>
      </c>
      <c r="K2" s="3" t="s">
        <v>326</v>
      </c>
      <c r="L2" s="3" t="s">
        <v>327</v>
      </c>
      <c r="M2" s="3" t="s">
        <v>328</v>
      </c>
    </row>
    <row r="3" spans="1:13" ht="30" x14ac:dyDescent="0.25">
      <c r="A3" t="s">
        <v>79</v>
      </c>
      <c r="B3" t="e" cm="1">
        <f t="array" ref="B3">+ Evidence quality</f>
        <v>#NAME?</v>
      </c>
      <c r="C3">
        <v>9</v>
      </c>
      <c r="D3">
        <v>50</v>
      </c>
      <c r="E3">
        <v>0.18</v>
      </c>
      <c r="F3">
        <v>0.71830897999999999</v>
      </c>
      <c r="G3">
        <v>1.1598694793723901E-2</v>
      </c>
      <c r="H3">
        <v>5.5702400000000001</v>
      </c>
      <c r="I3">
        <v>2.3999887207217898</v>
      </c>
      <c r="J3" s="4">
        <v>0.18</v>
      </c>
      <c r="K3" s="3" t="s">
        <v>329</v>
      </c>
      <c r="L3" s="3" t="s">
        <v>330</v>
      </c>
      <c r="M3" s="3" t="s">
        <v>331</v>
      </c>
    </row>
    <row r="4" spans="1:13" ht="30" x14ac:dyDescent="0.25">
      <c r="A4" t="s">
        <v>80</v>
      </c>
      <c r="B4" t="e" cm="1">
        <f t="array" ref="B4">+ Temporal recency</f>
        <v>#NAME?</v>
      </c>
      <c r="C4">
        <v>5</v>
      </c>
      <c r="D4">
        <v>50</v>
      </c>
      <c r="E4">
        <v>0.1</v>
      </c>
      <c r="F4">
        <v>0.74681213999999996</v>
      </c>
      <c r="G4">
        <v>8.2116000454558503E-3</v>
      </c>
      <c r="H4">
        <v>5.3599399999999999</v>
      </c>
      <c r="I4">
        <v>1.3132605382118501</v>
      </c>
      <c r="J4" s="4">
        <v>0.1</v>
      </c>
      <c r="K4" s="3" t="s">
        <v>332</v>
      </c>
      <c r="L4" s="3" t="s">
        <v>333</v>
      </c>
      <c r="M4" s="3" t="s">
        <v>334</v>
      </c>
    </row>
    <row r="5" spans="1:13" ht="30" x14ac:dyDescent="0.25">
      <c r="A5" t="s">
        <v>81</v>
      </c>
      <c r="B5" t="e" cm="1">
        <f t="array" ref="B5">+ Hybrid context</f>
        <v>#NAME?</v>
      </c>
      <c r="C5">
        <v>5</v>
      </c>
      <c r="D5">
        <v>50</v>
      </c>
      <c r="E5">
        <v>0.1</v>
      </c>
      <c r="F5">
        <v>0.75387062000000005</v>
      </c>
      <c r="G5">
        <v>3.5219039924154399E-2</v>
      </c>
      <c r="H5">
        <v>5.7908799999999996</v>
      </c>
      <c r="I5">
        <v>1.1392105329425899</v>
      </c>
      <c r="J5" s="4">
        <v>0.1</v>
      </c>
      <c r="K5" s="3" t="s">
        <v>335</v>
      </c>
      <c r="L5" s="3" t="s">
        <v>336</v>
      </c>
      <c r="M5" s="3" t="s">
        <v>337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B882F-E7DE-4B7B-B4C6-4824A98941C7}">
  <dimension ref="A1:X31"/>
  <sheetViews>
    <sheetView topLeftCell="C13" workbookViewId="0">
      <selection activeCell="N27" sqref="N27:V31"/>
    </sheetView>
  </sheetViews>
  <sheetFormatPr defaultRowHeight="15" x14ac:dyDescent="0.25"/>
  <cols>
    <col min="2" max="2" width="20.140625" customWidth="1"/>
    <col min="14" max="14" width="10.28515625" customWidth="1"/>
    <col min="15" max="15" width="20.85546875" customWidth="1"/>
    <col min="16" max="16" width="29.7109375" customWidth="1"/>
    <col min="20" max="20" width="14.140625" customWidth="1"/>
    <col min="21" max="21" width="14" customWidth="1"/>
    <col min="22" max="22" width="13.7109375" customWidth="1"/>
  </cols>
  <sheetData>
    <row r="1" spans="1:11" ht="60" x14ac:dyDescent="0.25">
      <c r="A1" s="2" t="s">
        <v>321</v>
      </c>
      <c r="B1" s="2" t="s">
        <v>322</v>
      </c>
      <c r="C1" s="2" t="s">
        <v>323</v>
      </c>
      <c r="D1" s="2" t="s">
        <v>324</v>
      </c>
      <c r="E1" s="2" t="s">
        <v>325</v>
      </c>
    </row>
    <row r="2" spans="1:11" ht="30" x14ac:dyDescent="0.25">
      <c r="A2" s="3" t="s">
        <v>77</v>
      </c>
      <c r="B2" s="4">
        <v>0.12</v>
      </c>
      <c r="C2" s="3" t="s">
        <v>326</v>
      </c>
      <c r="D2" s="3" t="s">
        <v>327</v>
      </c>
      <c r="E2" s="3" t="s">
        <v>328</v>
      </c>
    </row>
    <row r="3" spans="1:11" ht="30" x14ac:dyDescent="0.25">
      <c r="A3" s="3" t="s">
        <v>79</v>
      </c>
      <c r="B3" s="4">
        <v>0.18</v>
      </c>
      <c r="C3" s="3" t="s">
        <v>329</v>
      </c>
      <c r="D3" s="3" t="s">
        <v>330</v>
      </c>
      <c r="E3" s="3" t="s">
        <v>331</v>
      </c>
    </row>
    <row r="4" spans="1:11" ht="30" x14ac:dyDescent="0.25">
      <c r="A4" s="3" t="s">
        <v>80</v>
      </c>
      <c r="B4" s="4">
        <v>0.1</v>
      </c>
      <c r="C4" s="3" t="s">
        <v>332</v>
      </c>
      <c r="D4" s="3" t="s">
        <v>333</v>
      </c>
      <c r="E4" s="3" t="s">
        <v>334</v>
      </c>
    </row>
    <row r="5" spans="1:11" ht="30" x14ac:dyDescent="0.25">
      <c r="A5" s="3" t="s">
        <v>81</v>
      </c>
      <c r="B5" s="4">
        <v>0.1</v>
      </c>
      <c r="C5" s="3" t="s">
        <v>335</v>
      </c>
      <c r="D5" s="3" t="s">
        <v>336</v>
      </c>
      <c r="E5" s="3" t="s">
        <v>337</v>
      </c>
    </row>
    <row r="7" spans="1:11" x14ac:dyDescent="0.25">
      <c r="A7" s="6" t="s">
        <v>345</v>
      </c>
    </row>
    <row r="8" spans="1:11" x14ac:dyDescent="0.25">
      <c r="A8" t="s">
        <v>69</v>
      </c>
      <c r="B8" t="s">
        <v>70</v>
      </c>
      <c r="C8" t="s">
        <v>338</v>
      </c>
      <c r="D8" t="s">
        <v>339</v>
      </c>
      <c r="E8" t="s">
        <v>340</v>
      </c>
      <c r="F8" t="s">
        <v>43</v>
      </c>
      <c r="G8" t="s">
        <v>341</v>
      </c>
      <c r="H8" t="s">
        <v>44</v>
      </c>
      <c r="I8" t="s">
        <v>74</v>
      </c>
      <c r="J8" t="s">
        <v>45</v>
      </c>
      <c r="K8" t="s">
        <v>75</v>
      </c>
    </row>
    <row r="9" spans="1:11" x14ac:dyDescent="0.25">
      <c r="A9" t="s">
        <v>77</v>
      </c>
      <c r="B9" t="s">
        <v>78</v>
      </c>
      <c r="C9">
        <v>1</v>
      </c>
      <c r="D9">
        <v>10</v>
      </c>
      <c r="E9">
        <v>0.1</v>
      </c>
      <c r="F9">
        <v>0.41666700000000001</v>
      </c>
      <c r="G9">
        <v>0.30681599999999998</v>
      </c>
      <c r="H9">
        <v>0.71573699999999996</v>
      </c>
      <c r="I9">
        <v>1.7097999999999999E-2</v>
      </c>
      <c r="J9">
        <v>6.1997</v>
      </c>
      <c r="K9">
        <v>3.25461</v>
      </c>
    </row>
    <row r="10" spans="1:11" x14ac:dyDescent="0.25">
      <c r="A10" t="s">
        <v>79</v>
      </c>
      <c r="B10" s="5" t="s">
        <v>342</v>
      </c>
      <c r="C10">
        <v>1</v>
      </c>
      <c r="D10">
        <v>10</v>
      </c>
      <c r="E10">
        <v>0.1</v>
      </c>
      <c r="F10">
        <v>0.41666700000000001</v>
      </c>
      <c r="G10">
        <v>0.30681599999999998</v>
      </c>
      <c r="H10">
        <v>0.71851200000000004</v>
      </c>
      <c r="I10">
        <v>1.1962E-2</v>
      </c>
      <c r="J10">
        <v>5.0941000000000001</v>
      </c>
      <c r="K10">
        <v>1.049623</v>
      </c>
    </row>
    <row r="11" spans="1:11" x14ac:dyDescent="0.25">
      <c r="A11" t="s">
        <v>80</v>
      </c>
      <c r="B11" s="5" t="s">
        <v>343</v>
      </c>
      <c r="C11">
        <v>1</v>
      </c>
      <c r="D11">
        <v>10</v>
      </c>
      <c r="E11">
        <v>0.1</v>
      </c>
      <c r="F11">
        <v>0.41666700000000001</v>
      </c>
      <c r="G11">
        <v>0.30681599999999998</v>
      </c>
      <c r="H11">
        <v>0.74688900000000003</v>
      </c>
      <c r="I11">
        <v>8.4779999999999994E-3</v>
      </c>
      <c r="J11">
        <v>5.7744999999999997</v>
      </c>
      <c r="K11">
        <v>1.358957</v>
      </c>
    </row>
    <row r="12" spans="1:11" x14ac:dyDescent="0.25">
      <c r="A12" t="s">
        <v>81</v>
      </c>
      <c r="B12" s="5" t="s">
        <v>344</v>
      </c>
      <c r="C12">
        <v>1</v>
      </c>
      <c r="D12">
        <v>10</v>
      </c>
      <c r="E12">
        <v>0.1</v>
      </c>
      <c r="F12">
        <v>0.32500000000000001</v>
      </c>
      <c r="G12">
        <v>0.27343800000000001</v>
      </c>
      <c r="H12">
        <v>0.74694199999999999</v>
      </c>
      <c r="I12">
        <v>8.4580000000000002E-3</v>
      </c>
      <c r="J12">
        <v>6.9694000000000003</v>
      </c>
      <c r="K12">
        <v>3.1686420000000002</v>
      </c>
    </row>
    <row r="13" spans="1:11" x14ac:dyDescent="0.25">
      <c r="A13" t="s">
        <v>346</v>
      </c>
    </row>
    <row r="14" spans="1:11" x14ac:dyDescent="0.25">
      <c r="A14" t="s">
        <v>69</v>
      </c>
      <c r="B14" t="s">
        <v>70</v>
      </c>
      <c r="C14" t="s">
        <v>338</v>
      </c>
      <c r="D14" t="s">
        <v>339</v>
      </c>
      <c r="E14" t="s">
        <v>340</v>
      </c>
      <c r="F14" t="s">
        <v>43</v>
      </c>
      <c r="G14" t="s">
        <v>341</v>
      </c>
      <c r="H14" t="s">
        <v>44</v>
      </c>
      <c r="I14" t="s">
        <v>74</v>
      </c>
      <c r="J14" t="s">
        <v>45</v>
      </c>
      <c r="K14" t="s">
        <v>75</v>
      </c>
    </row>
    <row r="15" spans="1:11" x14ac:dyDescent="0.25">
      <c r="A15" t="s">
        <v>77</v>
      </c>
      <c r="B15" t="s">
        <v>78</v>
      </c>
      <c r="C15">
        <v>2</v>
      </c>
      <c r="D15">
        <v>10</v>
      </c>
      <c r="E15">
        <v>0.2</v>
      </c>
      <c r="F15">
        <v>0.41666700000000001</v>
      </c>
      <c r="G15">
        <v>0.37883800000000001</v>
      </c>
      <c r="H15">
        <v>0.71329500000000001</v>
      </c>
      <c r="I15">
        <v>1.4733E-2</v>
      </c>
      <c r="J15">
        <v>6.5498000000000003</v>
      </c>
      <c r="K15">
        <v>4.8484600000000002</v>
      </c>
    </row>
    <row r="16" spans="1:11" x14ac:dyDescent="0.25">
      <c r="A16" t="s">
        <v>79</v>
      </c>
      <c r="B16" s="5" t="s">
        <v>342</v>
      </c>
      <c r="C16">
        <v>1</v>
      </c>
      <c r="D16">
        <v>10</v>
      </c>
      <c r="E16">
        <v>0.1</v>
      </c>
      <c r="F16">
        <v>0.31666699999999998</v>
      </c>
      <c r="G16">
        <v>0.337474</v>
      </c>
      <c r="H16">
        <v>0.73593200000000003</v>
      </c>
      <c r="I16">
        <v>6.5357999999999999E-2</v>
      </c>
      <c r="J16">
        <v>5.0811999999999999</v>
      </c>
      <c r="K16">
        <v>1.7641560000000001</v>
      </c>
    </row>
    <row r="17" spans="1:24" x14ac:dyDescent="0.25">
      <c r="A17" t="s">
        <v>80</v>
      </c>
      <c r="B17" s="5" t="s">
        <v>343</v>
      </c>
      <c r="C17">
        <v>3</v>
      </c>
      <c r="D17">
        <v>10</v>
      </c>
      <c r="E17">
        <v>0.3</v>
      </c>
      <c r="F17">
        <v>0.55000000000000004</v>
      </c>
      <c r="G17">
        <v>0.35180299999999998</v>
      </c>
      <c r="H17">
        <v>0.74550099999999997</v>
      </c>
      <c r="I17">
        <v>7.2300000000000003E-3</v>
      </c>
      <c r="J17">
        <v>5.9451000000000001</v>
      </c>
      <c r="K17">
        <v>1.8109580000000001</v>
      </c>
    </row>
    <row r="18" spans="1:24" x14ac:dyDescent="0.25">
      <c r="A18" t="s">
        <v>81</v>
      </c>
      <c r="B18" s="5" t="s">
        <v>344</v>
      </c>
      <c r="C18">
        <v>0</v>
      </c>
      <c r="D18">
        <v>10</v>
      </c>
      <c r="E18">
        <v>0</v>
      </c>
      <c r="F18">
        <v>0.25833299999999998</v>
      </c>
      <c r="G18">
        <v>0.209534</v>
      </c>
      <c r="H18">
        <v>0.74550000000000005</v>
      </c>
      <c r="I18">
        <v>7.2300000000000003E-3</v>
      </c>
      <c r="J18">
        <v>7.0895000000000001</v>
      </c>
      <c r="K18">
        <v>3.4297580000000001</v>
      </c>
    </row>
    <row r="19" spans="1:24" x14ac:dyDescent="0.25">
      <c r="A19" t="s">
        <v>347</v>
      </c>
    </row>
    <row r="20" spans="1:24" x14ac:dyDescent="0.25">
      <c r="A20" t="s">
        <v>427</v>
      </c>
    </row>
    <row r="21" spans="1:24" x14ac:dyDescent="0.25">
      <c r="A21" t="s">
        <v>69</v>
      </c>
      <c r="B21" t="s">
        <v>70</v>
      </c>
      <c r="C21" t="s">
        <v>338</v>
      </c>
      <c r="D21" t="s">
        <v>339</v>
      </c>
      <c r="E21" t="s">
        <v>340</v>
      </c>
      <c r="F21" t="s">
        <v>43</v>
      </c>
      <c r="G21" t="s">
        <v>341</v>
      </c>
      <c r="H21" t="s">
        <v>44</v>
      </c>
      <c r="I21" t="s">
        <v>74</v>
      </c>
      <c r="J21" t="s">
        <v>45</v>
      </c>
      <c r="K21" t="s">
        <v>75</v>
      </c>
    </row>
    <row r="22" spans="1:24" x14ac:dyDescent="0.25">
      <c r="A22" t="s">
        <v>77</v>
      </c>
      <c r="B22" t="s">
        <v>78</v>
      </c>
      <c r="C22">
        <v>4</v>
      </c>
      <c r="D22">
        <v>10</v>
      </c>
      <c r="E22">
        <v>0.4</v>
      </c>
      <c r="F22">
        <v>0.68333339999999998</v>
      </c>
      <c r="G22">
        <v>0.33747431177965997</v>
      </c>
      <c r="H22">
        <v>0.71766799999999997</v>
      </c>
      <c r="I22">
        <v>1.8284457018036999E-2</v>
      </c>
      <c r="J22">
        <v>6.3361000000000001</v>
      </c>
      <c r="K22">
        <v>3.1890069666485998</v>
      </c>
    </row>
    <row r="23" spans="1:24" x14ac:dyDescent="0.25">
      <c r="A23" t="s">
        <v>79</v>
      </c>
      <c r="B23" s="5" t="s">
        <v>342</v>
      </c>
      <c r="C23">
        <v>4</v>
      </c>
      <c r="D23">
        <v>10</v>
      </c>
      <c r="E23">
        <v>0.4</v>
      </c>
      <c r="F23">
        <v>0.70000010000000001</v>
      </c>
      <c r="G23">
        <v>0.33147633474183003</v>
      </c>
      <c r="H23">
        <v>0.72278520000000002</v>
      </c>
      <c r="I23">
        <v>1.3494830646502301E-2</v>
      </c>
      <c r="J23">
        <v>8.4710999999999999</v>
      </c>
      <c r="K23">
        <v>10.579918571940301</v>
      </c>
    </row>
    <row r="24" spans="1:24" x14ac:dyDescent="0.25">
      <c r="A24" t="s">
        <v>80</v>
      </c>
      <c r="B24" s="5" t="s">
        <v>343</v>
      </c>
      <c r="C24">
        <v>5</v>
      </c>
      <c r="D24">
        <v>10</v>
      </c>
      <c r="E24">
        <v>0.5</v>
      </c>
      <c r="F24">
        <v>0.73333340000000002</v>
      </c>
      <c r="G24">
        <v>0.34426520784618603</v>
      </c>
      <c r="H24">
        <v>0.7497123</v>
      </c>
      <c r="I24">
        <v>9.6220183728086394E-3</v>
      </c>
      <c r="J24">
        <v>5.1292999999999997</v>
      </c>
      <c r="K24">
        <v>0.57407646606431095</v>
      </c>
    </row>
    <row r="25" spans="1:24" x14ac:dyDescent="0.25">
      <c r="A25" t="s">
        <v>81</v>
      </c>
      <c r="B25" s="5" t="s">
        <v>344</v>
      </c>
      <c r="C25">
        <v>5</v>
      </c>
      <c r="D25">
        <v>10</v>
      </c>
      <c r="E25">
        <v>0.5</v>
      </c>
      <c r="F25">
        <v>0.74166670000000001</v>
      </c>
      <c r="G25">
        <v>0.34347985995916303</v>
      </c>
      <c r="H25">
        <v>0.74970929999999902</v>
      </c>
      <c r="I25">
        <v>9.6197128399044193E-3</v>
      </c>
      <c r="J25">
        <v>6.0936000000000003</v>
      </c>
      <c r="K25">
        <v>0.60183851654742004</v>
      </c>
    </row>
    <row r="26" spans="1:24" x14ac:dyDescent="0.25">
      <c r="A26" t="s">
        <v>428</v>
      </c>
    </row>
    <row r="27" spans="1:24" x14ac:dyDescent="0.25">
      <c r="A27" t="s">
        <v>69</v>
      </c>
      <c r="B27" t="s">
        <v>70</v>
      </c>
      <c r="C27" t="s">
        <v>338</v>
      </c>
      <c r="D27" t="s">
        <v>339</v>
      </c>
      <c r="E27" t="s">
        <v>340</v>
      </c>
      <c r="F27" t="s">
        <v>43</v>
      </c>
      <c r="G27" t="s">
        <v>341</v>
      </c>
      <c r="H27" t="s">
        <v>44</v>
      </c>
      <c r="I27" t="s">
        <v>74</v>
      </c>
      <c r="J27" t="s">
        <v>45</v>
      </c>
      <c r="K27" t="s">
        <v>75</v>
      </c>
      <c r="N27" s="15" t="s">
        <v>435</v>
      </c>
      <c r="O27" s="15" t="s">
        <v>321</v>
      </c>
      <c r="P27" s="16" t="s">
        <v>447</v>
      </c>
      <c r="Q27" s="15" t="s">
        <v>338</v>
      </c>
      <c r="R27" s="15" t="s">
        <v>339</v>
      </c>
      <c r="S27" s="15" t="s">
        <v>340</v>
      </c>
      <c r="T27" s="15" t="s">
        <v>42</v>
      </c>
      <c r="U27" s="15" t="s">
        <v>324</v>
      </c>
      <c r="V27" s="15" t="s">
        <v>436</v>
      </c>
      <c r="W27" s="12"/>
      <c r="X27" s="12"/>
    </row>
    <row r="28" spans="1:24" x14ac:dyDescent="0.25">
      <c r="A28" t="s">
        <v>77</v>
      </c>
      <c r="B28" t="s">
        <v>78</v>
      </c>
      <c r="C28">
        <v>20</v>
      </c>
      <c r="D28">
        <v>50</v>
      </c>
      <c r="E28" s="9">
        <v>0.4</v>
      </c>
      <c r="F28" s="7">
        <v>0.68333339999999998</v>
      </c>
      <c r="G28" s="7">
        <v>0.32340664362826199</v>
      </c>
      <c r="H28" s="7">
        <v>0.71766757999999997</v>
      </c>
      <c r="I28" s="7">
        <v>1.7519460601250599E-2</v>
      </c>
      <c r="J28" s="8">
        <v>4.7016</v>
      </c>
      <c r="K28" s="8">
        <v>1.31094452629407</v>
      </c>
      <c r="N28" s="14" t="s">
        <v>77</v>
      </c>
      <c r="O28" s="17" t="s">
        <v>78</v>
      </c>
      <c r="P28" s="18" t="s">
        <v>448</v>
      </c>
      <c r="Q28" s="17">
        <v>20</v>
      </c>
      <c r="R28" s="17">
        <v>50</v>
      </c>
      <c r="S28" s="19">
        <v>0.4</v>
      </c>
      <c r="T28" s="17" t="s">
        <v>437</v>
      </c>
      <c r="U28" s="17" t="s">
        <v>438</v>
      </c>
      <c r="V28" s="17" t="s">
        <v>439</v>
      </c>
      <c r="W28" s="13"/>
      <c r="X28" s="13"/>
    </row>
    <row r="29" spans="1:24" x14ac:dyDescent="0.25">
      <c r="A29" t="s">
        <v>79</v>
      </c>
      <c r="B29" s="5" t="s">
        <v>429</v>
      </c>
      <c r="C29">
        <v>19</v>
      </c>
      <c r="D29">
        <v>50</v>
      </c>
      <c r="E29" s="9">
        <v>0.38</v>
      </c>
      <c r="F29" s="7">
        <v>0.6800001</v>
      </c>
      <c r="G29" s="7">
        <v>0.32963942645558802</v>
      </c>
      <c r="H29" s="7">
        <v>0.72278560000000003</v>
      </c>
      <c r="I29" s="7">
        <v>1.29308399509364E-2</v>
      </c>
      <c r="J29" s="8">
        <v>4.9458000000000002</v>
      </c>
      <c r="K29" s="8">
        <v>1.4288755104941</v>
      </c>
      <c r="N29" s="20" t="s">
        <v>79</v>
      </c>
      <c r="O29" s="21" t="s">
        <v>429</v>
      </c>
      <c r="P29" s="21" t="s">
        <v>449</v>
      </c>
      <c r="Q29" s="22">
        <v>19</v>
      </c>
      <c r="R29" s="22">
        <v>50</v>
      </c>
      <c r="S29" s="23">
        <v>0.38</v>
      </c>
      <c r="T29" s="22" t="s">
        <v>440</v>
      </c>
      <c r="U29" s="22" t="s">
        <v>441</v>
      </c>
      <c r="V29" s="22" t="s">
        <v>442</v>
      </c>
      <c r="W29" s="13"/>
      <c r="X29" s="13"/>
    </row>
    <row r="30" spans="1:24" x14ac:dyDescent="0.25">
      <c r="A30" t="s">
        <v>80</v>
      </c>
      <c r="B30" s="5" t="s">
        <v>430</v>
      </c>
      <c r="C30">
        <v>23</v>
      </c>
      <c r="D30">
        <v>50</v>
      </c>
      <c r="E30" s="9">
        <v>0.46</v>
      </c>
      <c r="F30" s="7">
        <v>0.66833337999999998</v>
      </c>
      <c r="G30" s="7">
        <v>0.38113465856468598</v>
      </c>
      <c r="H30" s="7">
        <v>0.74970879999999995</v>
      </c>
      <c r="I30" s="7">
        <v>9.2182545074035206E-3</v>
      </c>
      <c r="J30" s="8">
        <v>5.3726000000000003</v>
      </c>
      <c r="K30" s="8">
        <v>2.0106058483827698</v>
      </c>
      <c r="N30" s="20" t="s">
        <v>80</v>
      </c>
      <c r="O30" s="21" t="s">
        <v>430</v>
      </c>
      <c r="P30" s="21" t="s">
        <v>450</v>
      </c>
      <c r="Q30" s="22">
        <v>23</v>
      </c>
      <c r="R30" s="22">
        <v>50</v>
      </c>
      <c r="S30" s="23">
        <v>0.46</v>
      </c>
      <c r="T30" s="22" t="s">
        <v>443</v>
      </c>
      <c r="U30" s="22" t="s">
        <v>423</v>
      </c>
      <c r="V30" s="22" t="s">
        <v>444</v>
      </c>
      <c r="W30" s="13"/>
      <c r="X30" s="13"/>
    </row>
    <row r="31" spans="1:24" x14ac:dyDescent="0.25">
      <c r="A31" t="s">
        <v>81</v>
      </c>
      <c r="B31" s="5" t="s">
        <v>431</v>
      </c>
      <c r="C31">
        <v>25</v>
      </c>
      <c r="D31">
        <v>50</v>
      </c>
      <c r="E31" s="9">
        <v>0.5</v>
      </c>
      <c r="F31" s="7">
        <v>0.74166670000000001</v>
      </c>
      <c r="G31" s="7">
        <v>0.32916184961605599</v>
      </c>
      <c r="H31" s="7">
        <v>0.74970873999999998</v>
      </c>
      <c r="I31" s="7">
        <v>9.2184040072685308E-3</v>
      </c>
      <c r="J31" s="8">
        <v>6.8184399999999901</v>
      </c>
      <c r="K31" s="8">
        <v>4.8619868121615299</v>
      </c>
      <c r="N31" s="24" t="s">
        <v>81</v>
      </c>
      <c r="O31" s="25" t="s">
        <v>431</v>
      </c>
      <c r="P31" s="25" t="s">
        <v>451</v>
      </c>
      <c r="Q31" s="26">
        <v>25</v>
      </c>
      <c r="R31" s="26">
        <v>50</v>
      </c>
      <c r="S31" s="27">
        <v>0.5</v>
      </c>
      <c r="T31" s="26" t="s">
        <v>445</v>
      </c>
      <c r="U31" s="26" t="s">
        <v>423</v>
      </c>
      <c r="V31" s="26" t="s">
        <v>446</v>
      </c>
      <c r="W31" s="13"/>
      <c r="X31" s="13"/>
    </row>
  </sheetData>
  <autoFilter ref="A8:A12" xr:uid="{B28B882F-E7DE-4B7B-B4C6-4824A98941C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D27B-BB11-4B38-AFF3-FFBC8BD7DE49}">
  <dimension ref="A1:M28"/>
  <sheetViews>
    <sheetView tabSelected="1" workbookViewId="0">
      <selection activeCell="N22" sqref="N22"/>
    </sheetView>
  </sheetViews>
  <sheetFormatPr defaultRowHeight="15" x14ac:dyDescent="0.25"/>
  <cols>
    <col min="1" max="1" width="18.85546875" customWidth="1"/>
    <col min="2" max="2" width="13.140625" customWidth="1"/>
    <col min="3" max="3" width="14" customWidth="1"/>
    <col min="4" max="4" width="15.140625" bestFit="1" customWidth="1"/>
    <col min="5" max="5" width="15" bestFit="1" customWidth="1"/>
    <col min="6" max="6" width="13.28515625" bestFit="1" customWidth="1"/>
    <col min="7" max="7" width="15.140625" bestFit="1" customWidth="1"/>
    <col min="8" max="8" width="13.28515625" bestFit="1" customWidth="1"/>
    <col min="9" max="9" width="12.140625" bestFit="1" customWidth="1"/>
    <col min="10" max="10" width="15.140625" bestFit="1" customWidth="1"/>
    <col min="11" max="11" width="13.28515625" bestFit="1" customWidth="1"/>
    <col min="12" max="12" width="12.140625" bestFit="1" customWidth="1"/>
    <col min="13" max="13" width="15.140625" bestFit="1" customWidth="1"/>
    <col min="14" max="14" width="13.85546875" customWidth="1"/>
    <col min="15" max="15" width="12.140625" bestFit="1" customWidth="1"/>
    <col min="16" max="16" width="14" customWidth="1"/>
  </cols>
  <sheetData>
    <row r="1" spans="1:13" x14ac:dyDescent="0.25">
      <c r="A1" t="s">
        <v>432</v>
      </c>
    </row>
    <row r="2" spans="1:13" x14ac:dyDescent="0.25">
      <c r="A2" t="s">
        <v>0</v>
      </c>
      <c r="B2" t="s">
        <v>46</v>
      </c>
      <c r="C2" t="s">
        <v>3</v>
      </c>
      <c r="D2" t="s">
        <v>58</v>
      </c>
      <c r="E2" t="s">
        <v>46</v>
      </c>
      <c r="F2" t="s">
        <v>3</v>
      </c>
      <c r="G2" t="s">
        <v>58</v>
      </c>
      <c r="H2" t="s">
        <v>46</v>
      </c>
      <c r="I2" t="s">
        <v>3</v>
      </c>
      <c r="J2" t="s">
        <v>58</v>
      </c>
      <c r="K2" t="s">
        <v>46</v>
      </c>
      <c r="L2" t="s">
        <v>3</v>
      </c>
      <c r="M2" t="s">
        <v>58</v>
      </c>
    </row>
    <row r="3" spans="1:13" x14ac:dyDescent="0.25">
      <c r="A3">
        <v>1</v>
      </c>
      <c r="B3" t="s">
        <v>47</v>
      </c>
      <c r="C3" t="s">
        <v>348</v>
      </c>
      <c r="D3" t="s">
        <v>349</v>
      </c>
      <c r="E3" t="s">
        <v>47</v>
      </c>
      <c r="F3" t="s">
        <v>371</v>
      </c>
      <c r="G3" t="s">
        <v>372</v>
      </c>
      <c r="H3" t="s">
        <v>47</v>
      </c>
      <c r="I3" t="s">
        <v>388</v>
      </c>
      <c r="J3" t="s">
        <v>389</v>
      </c>
      <c r="K3" t="s">
        <v>47</v>
      </c>
      <c r="L3" t="s">
        <v>388</v>
      </c>
      <c r="M3" t="s">
        <v>405</v>
      </c>
    </row>
    <row r="4" spans="1:13" x14ac:dyDescent="0.25">
      <c r="A4">
        <v>2</v>
      </c>
      <c r="B4" t="s">
        <v>350</v>
      </c>
      <c r="C4" t="s">
        <v>351</v>
      </c>
      <c r="D4" t="s">
        <v>352</v>
      </c>
      <c r="E4" t="s">
        <v>47</v>
      </c>
      <c r="F4" t="s">
        <v>373</v>
      </c>
      <c r="G4" t="s">
        <v>374</v>
      </c>
      <c r="H4" t="s">
        <v>47</v>
      </c>
      <c r="I4" t="s">
        <v>390</v>
      </c>
      <c r="J4" t="s">
        <v>391</v>
      </c>
      <c r="K4" t="s">
        <v>406</v>
      </c>
      <c r="L4" t="s">
        <v>390</v>
      </c>
      <c r="M4" t="s">
        <v>407</v>
      </c>
    </row>
    <row r="5" spans="1:13" x14ac:dyDescent="0.25">
      <c r="A5">
        <v>3</v>
      </c>
      <c r="B5" t="s">
        <v>353</v>
      </c>
      <c r="C5" t="s">
        <v>354</v>
      </c>
      <c r="D5" t="s">
        <v>355</v>
      </c>
      <c r="E5" t="s">
        <v>353</v>
      </c>
      <c r="F5" t="s">
        <v>358</v>
      </c>
      <c r="G5" t="s">
        <v>375</v>
      </c>
      <c r="H5" t="s">
        <v>353</v>
      </c>
      <c r="I5" t="s">
        <v>392</v>
      </c>
      <c r="J5" t="s">
        <v>393</v>
      </c>
      <c r="K5" t="s">
        <v>353</v>
      </c>
      <c r="L5" t="s">
        <v>392</v>
      </c>
      <c r="M5" t="s">
        <v>408</v>
      </c>
    </row>
    <row r="6" spans="1:13" x14ac:dyDescent="0.25">
      <c r="A6">
        <v>4</v>
      </c>
      <c r="B6" t="s">
        <v>47</v>
      </c>
      <c r="C6" t="s">
        <v>356</v>
      </c>
      <c r="D6" t="s">
        <v>357</v>
      </c>
      <c r="E6" t="s">
        <v>47</v>
      </c>
      <c r="F6" t="s">
        <v>376</v>
      </c>
      <c r="G6" t="s">
        <v>377</v>
      </c>
      <c r="H6" t="s">
        <v>47</v>
      </c>
      <c r="I6" t="s">
        <v>394</v>
      </c>
      <c r="J6" t="s">
        <v>395</v>
      </c>
      <c r="K6" t="s">
        <v>47</v>
      </c>
      <c r="L6" t="s">
        <v>394</v>
      </c>
      <c r="M6" t="s">
        <v>409</v>
      </c>
    </row>
    <row r="7" spans="1:13" x14ac:dyDescent="0.25">
      <c r="A7">
        <v>5</v>
      </c>
      <c r="B7" t="s">
        <v>353</v>
      </c>
      <c r="C7" t="s">
        <v>358</v>
      </c>
      <c r="D7" t="s">
        <v>359</v>
      </c>
      <c r="E7" t="s">
        <v>353</v>
      </c>
      <c r="F7" t="s">
        <v>378</v>
      </c>
      <c r="G7" t="s">
        <v>379</v>
      </c>
      <c r="H7" t="s">
        <v>353</v>
      </c>
      <c r="I7" t="s">
        <v>396</v>
      </c>
      <c r="J7" t="s">
        <v>397</v>
      </c>
      <c r="K7" t="s">
        <v>54</v>
      </c>
      <c r="L7" t="s">
        <v>396</v>
      </c>
      <c r="M7" t="s">
        <v>410</v>
      </c>
    </row>
    <row r="8" spans="1:13" x14ac:dyDescent="0.25">
      <c r="A8">
        <v>6</v>
      </c>
      <c r="B8" t="s">
        <v>54</v>
      </c>
      <c r="C8" t="s">
        <v>360</v>
      </c>
      <c r="D8" t="s">
        <v>361</v>
      </c>
      <c r="E8" t="s">
        <v>380</v>
      </c>
      <c r="F8" t="s">
        <v>360</v>
      </c>
      <c r="G8" t="s">
        <v>381</v>
      </c>
      <c r="H8" t="s">
        <v>54</v>
      </c>
      <c r="I8" t="s">
        <v>398</v>
      </c>
      <c r="J8" t="s">
        <v>399</v>
      </c>
      <c r="K8" t="s">
        <v>47</v>
      </c>
      <c r="L8" t="s">
        <v>398</v>
      </c>
      <c r="M8" t="s">
        <v>411</v>
      </c>
    </row>
    <row r="9" spans="1:13" x14ac:dyDescent="0.25">
      <c r="A9">
        <v>7</v>
      </c>
      <c r="B9" t="s">
        <v>47</v>
      </c>
      <c r="C9" t="s">
        <v>362</v>
      </c>
      <c r="D9" t="s">
        <v>363</v>
      </c>
      <c r="E9" t="s">
        <v>47</v>
      </c>
      <c r="F9" t="s">
        <v>51</v>
      </c>
      <c r="G9" t="s">
        <v>382</v>
      </c>
      <c r="H9" t="s">
        <v>47</v>
      </c>
      <c r="I9" t="s">
        <v>400</v>
      </c>
      <c r="J9" t="s">
        <v>59</v>
      </c>
      <c r="K9" t="s">
        <v>47</v>
      </c>
      <c r="L9" t="s">
        <v>400</v>
      </c>
      <c r="M9" t="s">
        <v>412</v>
      </c>
    </row>
    <row r="10" spans="1:13" x14ac:dyDescent="0.25">
      <c r="A10">
        <v>8</v>
      </c>
      <c r="B10" t="s">
        <v>54</v>
      </c>
      <c r="C10" t="s">
        <v>364</v>
      </c>
      <c r="D10" t="s">
        <v>365</v>
      </c>
      <c r="E10" t="s">
        <v>380</v>
      </c>
      <c r="F10" t="s">
        <v>383</v>
      </c>
      <c r="G10" t="s">
        <v>384</v>
      </c>
      <c r="H10" t="s">
        <v>54</v>
      </c>
      <c r="I10" t="s">
        <v>50</v>
      </c>
      <c r="J10" t="s">
        <v>401</v>
      </c>
      <c r="K10" t="s">
        <v>47</v>
      </c>
      <c r="L10" t="s">
        <v>50</v>
      </c>
      <c r="M10" t="s">
        <v>413</v>
      </c>
    </row>
    <row r="11" spans="1:13" x14ac:dyDescent="0.25">
      <c r="A11">
        <v>9</v>
      </c>
      <c r="B11" t="s">
        <v>366</v>
      </c>
      <c r="C11" t="s">
        <v>367</v>
      </c>
      <c r="D11" t="s">
        <v>368</v>
      </c>
      <c r="E11" t="s">
        <v>353</v>
      </c>
      <c r="F11" t="s">
        <v>385</v>
      </c>
      <c r="G11" t="s">
        <v>386</v>
      </c>
      <c r="H11" t="s">
        <v>353</v>
      </c>
      <c r="I11" t="s">
        <v>57</v>
      </c>
      <c r="J11" t="s">
        <v>402</v>
      </c>
      <c r="K11" t="s">
        <v>353</v>
      </c>
      <c r="L11" t="s">
        <v>57</v>
      </c>
      <c r="M11" t="s">
        <v>414</v>
      </c>
    </row>
    <row r="12" spans="1:13" x14ac:dyDescent="0.25">
      <c r="A12">
        <v>10</v>
      </c>
      <c r="B12" t="s">
        <v>369</v>
      </c>
      <c r="C12" t="s">
        <v>370</v>
      </c>
      <c r="D12" t="s">
        <v>355</v>
      </c>
      <c r="E12" t="s">
        <v>369</v>
      </c>
      <c r="F12" t="s">
        <v>378</v>
      </c>
      <c r="G12" t="s">
        <v>387</v>
      </c>
      <c r="H12" t="s">
        <v>369</v>
      </c>
      <c r="I12" t="s">
        <v>403</v>
      </c>
      <c r="J12" t="s">
        <v>404</v>
      </c>
      <c r="K12" t="s">
        <v>369</v>
      </c>
      <c r="L12" t="s">
        <v>403</v>
      </c>
      <c r="M12" t="s">
        <v>415</v>
      </c>
    </row>
    <row r="13" spans="1:13" ht="15.75" customHeight="1" x14ac:dyDescent="0.25">
      <c r="A13" s="10" t="s">
        <v>433</v>
      </c>
      <c r="B13" s="11" t="s">
        <v>416</v>
      </c>
      <c r="C13" s="11" t="s">
        <v>417</v>
      </c>
      <c r="D13" s="11" t="s">
        <v>418</v>
      </c>
      <c r="E13" s="11" t="s">
        <v>419</v>
      </c>
      <c r="F13" s="11" t="s">
        <v>420</v>
      </c>
      <c r="G13" s="11" t="s">
        <v>421</v>
      </c>
      <c r="H13" s="11" t="s">
        <v>422</v>
      </c>
      <c r="I13" s="10" t="s">
        <v>423</v>
      </c>
      <c r="J13" s="10" t="s">
        <v>424</v>
      </c>
      <c r="K13" s="11" t="s">
        <v>425</v>
      </c>
      <c r="L13" s="11" t="s">
        <v>423</v>
      </c>
      <c r="M13" s="11" t="s">
        <v>426</v>
      </c>
    </row>
    <row r="15" spans="1:13" x14ac:dyDescent="0.25">
      <c r="A15" t="s">
        <v>434</v>
      </c>
    </row>
    <row r="16" spans="1:13" x14ac:dyDescent="0.25">
      <c r="A16" s="28" t="s">
        <v>94</v>
      </c>
      <c r="B16" s="28" t="s">
        <v>77</v>
      </c>
      <c r="C16" s="28"/>
      <c r="D16" s="28"/>
      <c r="E16" s="28" t="s">
        <v>79</v>
      </c>
      <c r="F16" s="28"/>
      <c r="G16" s="28"/>
      <c r="H16" s="28" t="s">
        <v>80</v>
      </c>
      <c r="I16" s="28"/>
      <c r="J16" s="28"/>
      <c r="K16" s="28" t="s">
        <v>81</v>
      </c>
      <c r="L16" s="28"/>
      <c r="M16" s="28"/>
    </row>
    <row r="17" spans="1:13" x14ac:dyDescent="0.25">
      <c r="A17" s="28"/>
      <c r="B17" s="29" t="s">
        <v>46</v>
      </c>
      <c r="C17" s="29" t="s">
        <v>3</v>
      </c>
      <c r="D17" s="29" t="s">
        <v>506</v>
      </c>
      <c r="E17" s="29" t="s">
        <v>46</v>
      </c>
      <c r="F17" s="29" t="s">
        <v>3</v>
      </c>
      <c r="G17" s="29" t="s">
        <v>506</v>
      </c>
      <c r="H17" s="29" t="s">
        <v>46</v>
      </c>
      <c r="I17" s="29" t="s">
        <v>3</v>
      </c>
      <c r="J17" s="29" t="s">
        <v>506</v>
      </c>
      <c r="K17" s="29" t="s">
        <v>46</v>
      </c>
      <c r="L17" s="29" t="s">
        <v>3</v>
      </c>
      <c r="M17" s="29" t="s">
        <v>506</v>
      </c>
    </row>
    <row r="18" spans="1:13" x14ac:dyDescent="0.25">
      <c r="A18" s="29">
        <v>1</v>
      </c>
      <c r="B18" s="29" t="s">
        <v>47</v>
      </c>
      <c r="C18" s="29" t="s">
        <v>371</v>
      </c>
      <c r="D18" s="29" t="s">
        <v>452</v>
      </c>
      <c r="E18" s="29" t="s">
        <v>47</v>
      </c>
      <c r="F18" s="29" t="s">
        <v>462</v>
      </c>
      <c r="G18" s="29" t="s">
        <v>463</v>
      </c>
      <c r="H18" s="29" t="s">
        <v>47</v>
      </c>
      <c r="I18" s="29" t="s">
        <v>398</v>
      </c>
      <c r="J18" s="29" t="s">
        <v>473</v>
      </c>
      <c r="K18" s="29" t="s">
        <v>47</v>
      </c>
      <c r="L18" s="29" t="s">
        <v>398</v>
      </c>
      <c r="M18" s="29" t="s">
        <v>485</v>
      </c>
    </row>
    <row r="19" spans="1:13" x14ac:dyDescent="0.25">
      <c r="A19" s="29">
        <v>2</v>
      </c>
      <c r="B19" s="29" t="s">
        <v>453</v>
      </c>
      <c r="C19" s="29" t="s">
        <v>351</v>
      </c>
      <c r="D19" s="29" t="s">
        <v>454</v>
      </c>
      <c r="E19" s="29" t="s">
        <v>47</v>
      </c>
      <c r="F19" s="29" t="s">
        <v>373</v>
      </c>
      <c r="G19" s="29" t="s">
        <v>464</v>
      </c>
      <c r="H19" s="29" t="s">
        <v>474</v>
      </c>
      <c r="I19" s="29" t="s">
        <v>390</v>
      </c>
      <c r="J19" s="29" t="s">
        <v>475</v>
      </c>
      <c r="K19" s="29" t="s">
        <v>406</v>
      </c>
      <c r="L19" s="29" t="s">
        <v>390</v>
      </c>
      <c r="M19" s="29" t="s">
        <v>486</v>
      </c>
    </row>
    <row r="20" spans="1:13" x14ac:dyDescent="0.25">
      <c r="A20" s="29">
        <v>3</v>
      </c>
      <c r="B20" s="29" t="s">
        <v>353</v>
      </c>
      <c r="C20" s="29" t="s">
        <v>354</v>
      </c>
      <c r="D20" s="29" t="s">
        <v>455</v>
      </c>
      <c r="E20" s="29" t="s">
        <v>353</v>
      </c>
      <c r="F20" s="29" t="s">
        <v>358</v>
      </c>
      <c r="G20" s="29" t="s">
        <v>465</v>
      </c>
      <c r="H20" s="29" t="s">
        <v>353</v>
      </c>
      <c r="I20" s="29" t="s">
        <v>392</v>
      </c>
      <c r="J20" s="29" t="s">
        <v>476</v>
      </c>
      <c r="K20" s="29" t="s">
        <v>353</v>
      </c>
      <c r="L20" s="29" t="s">
        <v>392</v>
      </c>
      <c r="M20" s="29" t="s">
        <v>487</v>
      </c>
    </row>
    <row r="21" spans="1:13" x14ac:dyDescent="0.25">
      <c r="A21" s="29">
        <v>4</v>
      </c>
      <c r="B21" s="29" t="s">
        <v>47</v>
      </c>
      <c r="C21" s="29" t="s">
        <v>356</v>
      </c>
      <c r="D21" s="29" t="s">
        <v>456</v>
      </c>
      <c r="E21" s="29" t="s">
        <v>466</v>
      </c>
      <c r="F21" s="29" t="s">
        <v>376</v>
      </c>
      <c r="G21" s="29" t="s">
        <v>467</v>
      </c>
      <c r="H21" s="29" t="s">
        <v>47</v>
      </c>
      <c r="I21" s="29" t="s">
        <v>394</v>
      </c>
      <c r="J21" s="29" t="s">
        <v>477</v>
      </c>
      <c r="K21" s="29" t="s">
        <v>47</v>
      </c>
      <c r="L21" s="29" t="s">
        <v>394</v>
      </c>
      <c r="M21" s="29" t="s">
        <v>488</v>
      </c>
    </row>
    <row r="22" spans="1:13" x14ac:dyDescent="0.25">
      <c r="A22" s="29">
        <v>5</v>
      </c>
      <c r="B22" s="29" t="s">
        <v>353</v>
      </c>
      <c r="C22" s="29" t="s">
        <v>358</v>
      </c>
      <c r="D22" s="29" t="s">
        <v>457</v>
      </c>
      <c r="E22" s="29" t="s">
        <v>353</v>
      </c>
      <c r="F22" s="29" t="s">
        <v>378</v>
      </c>
      <c r="G22" s="29" t="s">
        <v>468</v>
      </c>
      <c r="H22" s="29" t="s">
        <v>353</v>
      </c>
      <c r="I22" s="29" t="s">
        <v>396</v>
      </c>
      <c r="J22" s="29" t="s">
        <v>478</v>
      </c>
      <c r="K22" s="29" t="s">
        <v>54</v>
      </c>
      <c r="L22" s="29" t="s">
        <v>396</v>
      </c>
      <c r="M22" s="29" t="s">
        <v>489</v>
      </c>
    </row>
    <row r="23" spans="1:13" x14ac:dyDescent="0.25">
      <c r="A23" s="29">
        <v>6</v>
      </c>
      <c r="B23" s="29" t="s">
        <v>380</v>
      </c>
      <c r="C23" s="29" t="s">
        <v>360</v>
      </c>
      <c r="D23" s="29" t="s">
        <v>60</v>
      </c>
      <c r="E23" s="29" t="s">
        <v>47</v>
      </c>
      <c r="F23" s="29" t="s">
        <v>360</v>
      </c>
      <c r="G23" s="29" t="s">
        <v>469</v>
      </c>
      <c r="H23" s="29" t="s">
        <v>47</v>
      </c>
      <c r="I23" s="29" t="s">
        <v>479</v>
      </c>
      <c r="J23" s="29" t="s">
        <v>480</v>
      </c>
      <c r="K23" s="29" t="s">
        <v>47</v>
      </c>
      <c r="L23" s="29" t="s">
        <v>479</v>
      </c>
      <c r="M23" s="29" t="s">
        <v>490</v>
      </c>
    </row>
    <row r="24" spans="1:13" x14ac:dyDescent="0.25">
      <c r="A24" s="29">
        <v>7</v>
      </c>
      <c r="B24" s="29" t="s">
        <v>47</v>
      </c>
      <c r="C24" s="29" t="s">
        <v>362</v>
      </c>
      <c r="D24" s="29" t="s">
        <v>458</v>
      </c>
      <c r="E24" s="29" t="s">
        <v>353</v>
      </c>
      <c r="F24" s="29" t="s">
        <v>56</v>
      </c>
      <c r="G24" s="29" t="s">
        <v>470</v>
      </c>
      <c r="H24" s="29" t="s">
        <v>380</v>
      </c>
      <c r="I24" s="29" t="s">
        <v>481</v>
      </c>
      <c r="J24" s="29" t="s">
        <v>381</v>
      </c>
      <c r="K24" s="29" t="s">
        <v>47</v>
      </c>
      <c r="L24" s="29" t="s">
        <v>481</v>
      </c>
      <c r="M24" s="29" t="s">
        <v>491</v>
      </c>
    </row>
    <row r="25" spans="1:13" x14ac:dyDescent="0.25">
      <c r="A25" s="29">
        <v>8</v>
      </c>
      <c r="B25" s="29" t="s">
        <v>459</v>
      </c>
      <c r="C25" s="29" t="s">
        <v>364</v>
      </c>
      <c r="D25" s="29" t="s">
        <v>374</v>
      </c>
      <c r="E25" s="29" t="s">
        <v>459</v>
      </c>
      <c r="F25" s="29" t="s">
        <v>383</v>
      </c>
      <c r="G25" s="29" t="s">
        <v>471</v>
      </c>
      <c r="H25" s="29" t="s">
        <v>54</v>
      </c>
      <c r="I25" s="29" t="s">
        <v>50</v>
      </c>
      <c r="J25" s="29" t="s">
        <v>482</v>
      </c>
      <c r="K25" s="29" t="s">
        <v>47</v>
      </c>
      <c r="L25" s="29" t="s">
        <v>50</v>
      </c>
      <c r="M25" s="29" t="s">
        <v>492</v>
      </c>
    </row>
    <row r="26" spans="1:13" x14ac:dyDescent="0.25">
      <c r="A26" s="29">
        <v>9</v>
      </c>
      <c r="B26" s="29" t="s">
        <v>353</v>
      </c>
      <c r="C26" s="29" t="s">
        <v>367</v>
      </c>
      <c r="D26" s="29" t="s">
        <v>460</v>
      </c>
      <c r="E26" s="29" t="s">
        <v>353</v>
      </c>
      <c r="F26" s="29" t="s">
        <v>385</v>
      </c>
      <c r="G26" s="29" t="s">
        <v>472</v>
      </c>
      <c r="H26" s="29" t="s">
        <v>483</v>
      </c>
      <c r="I26" s="29" t="s">
        <v>57</v>
      </c>
      <c r="J26" s="29" t="s">
        <v>484</v>
      </c>
      <c r="K26" s="29" t="s">
        <v>353</v>
      </c>
      <c r="L26" s="29" t="s">
        <v>57</v>
      </c>
      <c r="M26" s="29" t="s">
        <v>493</v>
      </c>
    </row>
    <row r="27" spans="1:13" x14ac:dyDescent="0.25">
      <c r="A27" s="29">
        <v>10</v>
      </c>
      <c r="B27" s="29" t="s">
        <v>369</v>
      </c>
      <c r="C27" s="29" t="s">
        <v>370</v>
      </c>
      <c r="D27" s="29" t="s">
        <v>461</v>
      </c>
      <c r="E27" s="29" t="s">
        <v>369</v>
      </c>
      <c r="F27" s="29" t="s">
        <v>378</v>
      </c>
      <c r="G27" s="29" t="s">
        <v>393</v>
      </c>
      <c r="H27" s="29" t="s">
        <v>369</v>
      </c>
      <c r="I27" s="29" t="s">
        <v>403</v>
      </c>
      <c r="J27" s="29" t="s">
        <v>456</v>
      </c>
      <c r="K27" s="29" t="s">
        <v>369</v>
      </c>
      <c r="L27" s="29" t="s">
        <v>403</v>
      </c>
      <c r="M27" s="29" t="s">
        <v>494</v>
      </c>
    </row>
    <row r="28" spans="1:13" x14ac:dyDescent="0.25">
      <c r="A28" s="29" t="s">
        <v>433</v>
      </c>
      <c r="B28" s="29" t="s">
        <v>437</v>
      </c>
      <c r="C28" s="29" t="s">
        <v>438</v>
      </c>
      <c r="D28" s="29" t="s">
        <v>439</v>
      </c>
      <c r="E28" s="29" t="s">
        <v>440</v>
      </c>
      <c r="F28" s="29" t="s">
        <v>441</v>
      </c>
      <c r="G28" s="29" t="s">
        <v>442</v>
      </c>
      <c r="H28" s="29" t="s">
        <v>443</v>
      </c>
      <c r="I28" s="29" t="s">
        <v>423</v>
      </c>
      <c r="J28" s="29" t="s">
        <v>444</v>
      </c>
      <c r="K28" s="29" t="s">
        <v>445</v>
      </c>
      <c r="L28" s="29" t="s">
        <v>423</v>
      </c>
      <c r="M28" s="29" t="s">
        <v>446</v>
      </c>
    </row>
  </sheetData>
  <mergeCells count="5">
    <mergeCell ref="A16:A17"/>
    <mergeCell ref="B16:D16"/>
    <mergeCell ref="E16:G16"/>
    <mergeCell ref="H16:J16"/>
    <mergeCell ref="K16:M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single option</vt:lpstr>
      <vt:lpstr>single option summary</vt:lpstr>
      <vt:lpstr>single choice ablation study</vt:lpstr>
      <vt:lpstr>multi-option details</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Zongliang Yue</cp:lastModifiedBy>
  <dcterms:created xsi:type="dcterms:W3CDTF">2015-06-05T18:17:20Z</dcterms:created>
  <dcterms:modified xsi:type="dcterms:W3CDTF">2026-08-28T14:25:44Z</dcterms:modified>
</cp:coreProperties>
</file>